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XP Curve" sheetId="3" state="visible" r:id="rId3"/>
    <sheet xmlns:r="http://schemas.openxmlformats.org/officeDocument/2006/relationships" name="30 Day Simulation" sheetId="4" state="visible" r:id="rId4"/>
    <sheet xmlns:r="http://schemas.openxmlformats.org/officeDocument/2006/relationships" name="Production" sheetId="5" state="visible" r:id="rId5"/>
    <sheet xmlns:r="http://schemas.openxmlformats.org/officeDocument/2006/relationships" name="Coin Economy" sheetId="6" state="visible" r:id="rId6"/>
    <sheet xmlns:r="http://schemas.openxmlformats.org/officeDocument/2006/relationships" name="Credits" sheetId="7" state="visible" r:id="rId7"/>
    <sheet xmlns:r="http://schemas.openxmlformats.org/officeDocument/2006/relationships" name="Mining Drops" sheetId="8" state="visible" r:id="rId8"/>
    <sheet xmlns:r="http://schemas.openxmlformats.org/officeDocument/2006/relationships" name="Farming Drops" sheetId="9" state="visible" r:id="rId9"/>
    <sheet xmlns:r="http://schemas.openxmlformats.org/officeDocument/2006/relationships" name="Wood Drops" sheetId="10" state="visible" r:id="rId10"/>
    <sheet xmlns:r="http://schemas.openxmlformats.org/officeDocument/2006/relationships" name="Livestock Drops" sheetId="11" state="visible" r:id="rId11"/>
    <sheet xmlns:r="http://schemas.openxmlformats.org/officeDocument/2006/relationships" name="Hunter Drops" sheetId="12" state="visible" r:id="rId12"/>
    <sheet xmlns:r="http://schemas.openxmlformats.org/officeDocument/2006/relationships" name="Event Families" sheetId="13" state="visible" r:id="rId13"/>
    <sheet xmlns:r="http://schemas.openxmlformats.org/officeDocument/2006/relationships" name="Post 100" sheetId="14" state="visible" r:id="rId14"/>
    <sheet xmlns:r="http://schemas.openxmlformats.org/officeDocument/2006/relationships" name="Achievement Budget" sheetId="15" state="visible" r:id="rId15"/>
    <sheet xmlns:r="http://schemas.openxmlformats.org/officeDocument/2006/relationships" name="Node Type Per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  <color rgb="00FFFFFF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51F"/>
      </patternFill>
    </fill>
    <fill>
      <patternFill patternType="solid">
        <fgColor rgb="002E7D32"/>
      </patternFill>
    </fill>
    <fill>
      <patternFill patternType="solid">
        <fgColor rgb="00FFF3CD"/>
      </patternFill>
    </fill>
    <fill>
      <patternFill patternType="solid">
        <fgColor rgb="00E8F5E9"/>
      </patternFill>
    </fill>
    <fill>
      <patternFill patternType="solid">
        <fgColor rgb="00D6A3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9" fontId="0" fillId="5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</cellXfs>
  <cellStyles count="1">
    <cellStyle name="Normal" xfId="0" builtinId="0" hidden="0"/>
  </cellStyles>
  <dxfs count="1">
    <dxf>
      <fill>
        <patternFill patternType="solid">
          <fgColor rgb="00D6A32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9" customWidth="1" min="2" max="2"/>
  </cols>
  <sheetData>
    <row r="1">
      <c r="A1" s="1" t="inlineStr">
        <is>
          <t>IdleFarm Balance Bible</t>
        </is>
      </c>
      <c r="B1" s="2" t="inlineStr">
        <is>
          <t>Design authority for tunable progression and economy.</t>
        </is>
      </c>
    </row>
    <row r="2">
      <c r="A2" t="inlineStr">
        <is>
          <t>Target</t>
        </is>
      </c>
      <c r="B2" t="inlineStr">
        <is>
          <t>Focused free player reaches Node Exploration Lv.100 in 28–32 days.</t>
        </is>
      </c>
    </row>
    <row r="3">
      <c r="A3" t="inlineStr">
        <is>
          <t>Level model</t>
        </is>
      </c>
      <c r="B3" t="inlineStr">
        <is>
          <t>Each Production Node owns an independent Exploration Level.</t>
        </is>
      </c>
    </row>
    <row r="4">
      <c r="A4" t="inlineStr">
        <is>
          <t>Lv.1–100</t>
        </is>
      </c>
      <c r="B4" t="inlineStr">
        <is>
          <t>Vanilla pools only.</t>
        </is>
      </c>
    </row>
    <row r="5">
      <c r="A5" t="inlineStr">
        <is>
          <t>Lv.101+</t>
        </is>
      </c>
      <c r="B5" t="inlineStr">
        <is>
          <t>Adds MMORPG materials while retaining vanilla output.</t>
        </is>
      </c>
    </row>
    <row r="6">
      <c r="A6" t="inlineStr">
        <is>
          <t>Yellow cells</t>
        </is>
      </c>
      <c r="B6" t="inlineStr">
        <is>
          <t>Primary tuning assumptions.</t>
        </is>
      </c>
    </row>
    <row r="7">
      <c r="A7" t="inlineStr">
        <is>
          <t>Formula cells</t>
        </is>
      </c>
      <c r="B7" t="inlineStr">
        <is>
          <t>Derived outputs; do not replace without updating the model.</t>
        </is>
      </c>
    </row>
    <row r="8">
      <c r="A8" t="inlineStr">
        <is>
          <t>Credits</t>
        </is>
      </c>
      <c r="B8" t="inlineStr">
        <is>
          <t>1 Credit purchase price = 1 THB; non-cashable and non-transferable.</t>
        </is>
      </c>
    </row>
    <row r="9">
      <c r="A9" t="inlineStr">
        <is>
          <t>Important</t>
        </is>
      </c>
      <c r="B9" t="inlineStr">
        <is>
          <t>Weights do not replace daily/weekly rare-item caps.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40" customWidth="1" min="4" max="4"/>
  </cols>
  <sheetData>
    <row r="1">
      <c r="A1" s="3" t="inlineStr">
        <is>
          <t>Core assumptions</t>
        </is>
      </c>
    </row>
    <row r="2">
      <c r="A2" s="4" t="inlineStr">
        <is>
          <t>Key</t>
        </is>
      </c>
      <c r="B2" s="4" t="inlineStr">
        <is>
          <t>Value</t>
        </is>
      </c>
      <c r="C2" s="4" t="inlineStr">
        <is>
          <t>Unit</t>
        </is>
      </c>
      <c r="D2" s="4" t="inlineStr">
        <is>
          <t>Design note</t>
        </is>
      </c>
    </row>
    <row r="3">
      <c r="A3" s="5" t="inlineStr">
        <is>
          <t>xp_base</t>
        </is>
      </c>
      <c r="B3" s="5" t="n">
        <v>120</v>
      </c>
      <c r="C3" s="5" t="inlineStr">
        <is>
          <t>EXP</t>
        </is>
      </c>
      <c r="D3" s="5" t="inlineStr">
        <is>
          <t>EXP_next = base + step × current level</t>
        </is>
      </c>
    </row>
    <row r="4">
      <c r="A4" s="6" t="inlineStr">
        <is>
          <t>xp_step</t>
        </is>
      </c>
      <c r="B4" s="7" t="n">
        <v>12</v>
      </c>
      <c r="C4" s="6" t="inlineStr">
        <is>
          <t>EXP/level</t>
        </is>
      </c>
      <c r="D4" s="6" t="inlineStr">
        <is>
          <t>Stable curve</t>
        </is>
      </c>
    </row>
    <row r="5">
      <c r="A5" s="5" t="inlineStr">
        <is>
          <t>passive_typical</t>
        </is>
      </c>
      <c r="B5" s="5" t="n">
        <v>650</v>
      </c>
      <c r="C5" s="5" t="inlineStr">
        <is>
          <t>EXP/day</t>
        </is>
      </c>
      <c r="D5" s="5" t="inlineStr">
        <is>
          <t>Focused node with normal check-ins</t>
        </is>
      </c>
    </row>
    <row r="6">
      <c r="A6" s="6" t="inlineStr">
        <is>
          <t>passive_cap</t>
        </is>
      </c>
      <c r="B6" s="7" t="n">
        <v>900</v>
      </c>
      <c r="C6" s="6" t="inlineStr">
        <is>
          <t>EXP/day</t>
        </is>
      </c>
      <c r="D6" s="6" t="inlineStr">
        <is>
          <t>Per node</t>
        </is>
      </c>
    </row>
    <row r="7">
      <c r="A7" s="5" t="inlineStr">
        <is>
          <t>first_collect</t>
        </is>
      </c>
      <c r="B7" s="5" t="n">
        <v>100</v>
      </c>
      <c r="C7" s="5" t="inlineStr">
        <is>
          <t>EXP/day</t>
        </is>
      </c>
      <c r="D7" s="5" t="inlineStr">
        <is>
          <t>Focused node</t>
        </is>
      </c>
    </row>
    <row r="8">
      <c r="A8" s="6" t="inlineStr">
        <is>
          <t>focused_commission</t>
        </is>
      </c>
      <c r="B8" s="7" t="n">
        <v>400</v>
      </c>
      <c r="C8" s="6" t="inlineStr">
        <is>
          <t>EXP/day</t>
        </is>
      </c>
      <c r="D8" s="6" t="inlineStr">
        <is>
          <t>Focused node</t>
        </is>
      </c>
    </row>
    <row r="9">
      <c r="A9" s="5" t="inlineStr">
        <is>
          <t>first_expedition</t>
        </is>
      </c>
      <c r="B9" s="5" t="n">
        <v>700</v>
      </c>
      <c r="C9" s="5" t="inlineStr">
        <is>
          <t>EXP/day</t>
        </is>
      </c>
      <c r="D9" s="5" t="inlineStr">
        <is>
          <t>Focused node</t>
        </is>
      </c>
    </row>
    <row r="10">
      <c r="A10" s="6" t="inlineStr">
        <is>
          <t>extra_expedition_cap</t>
        </is>
      </c>
      <c r="B10" s="7" t="n">
        <v>300</v>
      </c>
      <c r="C10" s="6" t="inlineStr">
        <is>
          <t>EXP/day</t>
        </is>
      </c>
      <c r="D10" s="6" t="inlineStr">
        <is>
          <t>100 per additional completion</t>
        </is>
      </c>
    </row>
    <row r="11">
      <c r="A11" s="5" t="inlineStr">
        <is>
          <t>weekly_chapter</t>
        </is>
      </c>
      <c r="B11" s="5" t="n">
        <v>3500</v>
      </c>
      <c r="C11" s="5" t="inlineStr">
        <is>
          <t>EXP/week</t>
        </is>
      </c>
      <c r="D11" s="5" t="inlineStr">
        <is>
          <t>Focused node</t>
        </is>
      </c>
    </row>
    <row r="12">
      <c r="A12" s="6" t="inlineStr">
        <is>
          <t>tutorial</t>
        </is>
      </c>
      <c r="B12" s="7" t="n">
        <v>2000</v>
      </c>
      <c r="C12" s="6" t="inlineStr">
        <is>
          <t>EXP</t>
        </is>
      </c>
      <c r="D12" s="6" t="inlineStr">
        <is>
          <t>One time</t>
        </is>
      </c>
    </row>
    <row r="13">
      <c r="A13" s="5" t="inlineStr">
        <is>
          <t>buffer_per_tier</t>
        </is>
      </c>
      <c r="B13" s="5" t="n">
        <v>256</v>
      </c>
      <c r="C13" s="5" t="inlineStr">
        <is>
          <t>items</t>
        </is>
      </c>
      <c r="D13" s="5" t="inlineStr">
        <is>
          <t>Target 2–3 check-ins/day</t>
        </is>
      </c>
    </row>
    <row r="14">
      <c r="A14" s="6" t="inlineStr">
        <is>
          <t>full_research_factor</t>
        </is>
      </c>
      <c r="B14" s="7" t="n">
        <v>0.25</v>
      </c>
      <c r="C14" s="6" t="inlineStr">
        <is>
          <t>ratio</t>
        </is>
      </c>
      <c r="D14" s="6" t="inlineStr">
        <is>
          <t>Research while buffer full</t>
        </is>
      </c>
    </row>
    <row r="15">
      <c r="A15" s="5" t="inlineStr">
        <is>
          <t>credit_coin_offset</t>
        </is>
      </c>
      <c r="B15" s="5" t="n">
        <v>20</v>
      </c>
      <c r="C15" s="5" t="inlineStr">
        <is>
          <t>Coins/Credit</t>
        </is>
      </c>
      <c r="D15" s="5" t="inlineStr">
        <is>
          <t>Checkout offset only</t>
        </is>
      </c>
    </row>
    <row r="16">
      <c r="A16" s="6" t="inlineStr">
        <is>
          <t>hybrid_pay_cap</t>
        </is>
      </c>
      <c r="B16" s="7" t="n">
        <v>0.15</v>
      </c>
      <c r="C16" s="6" t="inlineStr">
        <is>
          <t>ratio</t>
        </is>
      </c>
      <c r="D16" s="6" t="inlineStr">
        <is>
          <t>Per qualifying checkout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6" customWidth="1" min="3" max="3"/>
    <col width="30" customWidth="1" min="4" max="4"/>
  </cols>
  <sheetData>
    <row r="1">
      <c r="A1" s="3" t="inlineStr">
        <is>
          <t>Exploration Level curve</t>
        </is>
      </c>
    </row>
    <row r="2">
      <c r="A2" s="4" t="inlineStr">
        <is>
          <t>Current level</t>
        </is>
      </c>
      <c r="B2" s="4" t="inlineStr">
        <is>
          <t>EXP to next</t>
        </is>
      </c>
      <c r="C2" s="4" t="inlineStr">
        <is>
          <t>Cumulative EXP</t>
        </is>
      </c>
      <c r="D2" s="4" t="inlineStr">
        <is>
          <t>Milestone</t>
        </is>
      </c>
    </row>
    <row r="3">
      <c r="A3" s="5" t="n">
        <v>1</v>
      </c>
      <c r="B3" s="5" t="n">
        <v>132</v>
      </c>
      <c r="C3" s="5" t="n">
        <v>0</v>
      </c>
      <c r="D3" s="5" t="inlineStr"/>
    </row>
    <row r="4">
      <c r="A4" s="6" t="n">
        <v>2</v>
      </c>
      <c r="B4" s="6" t="n">
        <v>144</v>
      </c>
      <c r="C4" s="6" t="n">
        <v>132</v>
      </c>
      <c r="D4" s="6" t="inlineStr"/>
    </row>
    <row r="5">
      <c r="A5" s="5" t="n">
        <v>3</v>
      </c>
      <c r="B5" s="5" t="n">
        <v>156</v>
      </c>
      <c r="C5" s="5" t="n">
        <v>276</v>
      </c>
      <c r="D5" s="5" t="inlineStr"/>
    </row>
    <row r="6">
      <c r="A6" s="6" t="n">
        <v>4</v>
      </c>
      <c r="B6" s="6" t="n">
        <v>168</v>
      </c>
      <c r="C6" s="6" t="n">
        <v>432</v>
      </c>
      <c r="D6" s="6" t="inlineStr"/>
    </row>
    <row r="7">
      <c r="A7" s="5" t="n">
        <v>5</v>
      </c>
      <c r="B7" s="5" t="n">
        <v>180</v>
      </c>
      <c r="C7" s="5" t="n">
        <v>600</v>
      </c>
      <c r="D7" s="5" t="inlineStr"/>
    </row>
    <row r="8">
      <c r="A8" s="6" t="n">
        <v>6</v>
      </c>
      <c r="B8" s="6" t="n">
        <v>192</v>
      </c>
      <c r="C8" s="6" t="n">
        <v>780</v>
      </c>
      <c r="D8" s="6" t="inlineStr"/>
    </row>
    <row r="9">
      <c r="A9" s="5" t="n">
        <v>7</v>
      </c>
      <c r="B9" s="5" t="n">
        <v>204</v>
      </c>
      <c r="C9" s="5" t="n">
        <v>972</v>
      </c>
      <c r="D9" s="5" t="inlineStr"/>
    </row>
    <row r="10">
      <c r="A10" s="6" t="n">
        <v>8</v>
      </c>
      <c r="B10" s="6" t="n">
        <v>216</v>
      </c>
      <c r="C10" s="6" t="n">
        <v>1176</v>
      </c>
      <c r="D10" s="6" t="inlineStr"/>
    </row>
    <row r="11">
      <c r="A11" s="5" t="n">
        <v>9</v>
      </c>
      <c r="B11" s="5" t="n">
        <v>228</v>
      </c>
      <c r="C11" s="5" t="n">
        <v>1392</v>
      </c>
      <c r="D11" s="5" t="inlineStr"/>
    </row>
    <row r="12">
      <c r="A12" s="6" t="n">
        <v>10</v>
      </c>
      <c r="B12" s="6" t="n">
        <v>240</v>
      </c>
      <c r="C12" s="6" t="n">
        <v>1620</v>
      </c>
      <c r="D12" s="6" t="inlineStr">
        <is>
          <t>Bracket II</t>
        </is>
      </c>
    </row>
    <row r="13">
      <c r="A13" s="5" t="n">
        <v>11</v>
      </c>
      <c r="B13" s="5" t="n">
        <v>252</v>
      </c>
      <c r="C13" s="5" t="n">
        <v>1860</v>
      </c>
      <c r="D13" s="5" t="inlineStr"/>
    </row>
    <row r="14">
      <c r="A14" s="6" t="n">
        <v>12</v>
      </c>
      <c r="B14" s="6" t="n">
        <v>264</v>
      </c>
      <c r="C14" s="6" t="n">
        <v>2112</v>
      </c>
      <c r="D14" s="6" t="inlineStr"/>
    </row>
    <row r="15">
      <c r="A15" s="5" t="n">
        <v>13</v>
      </c>
      <c r="B15" s="5" t="n">
        <v>276</v>
      </c>
      <c r="C15" s="5" t="n">
        <v>2376</v>
      </c>
      <c r="D15" s="5" t="inlineStr"/>
    </row>
    <row r="16">
      <c r="A16" s="6" t="n">
        <v>14</v>
      </c>
      <c r="B16" s="6" t="n">
        <v>288</v>
      </c>
      <c r="C16" s="6" t="n">
        <v>2652</v>
      </c>
      <c r="D16" s="6" t="inlineStr"/>
    </row>
    <row r="17">
      <c r="A17" s="5" t="n">
        <v>15</v>
      </c>
      <c r="B17" s="5" t="n">
        <v>300</v>
      </c>
      <c r="C17" s="5" t="n">
        <v>2940</v>
      </c>
      <c r="D17" s="5" t="inlineStr"/>
    </row>
    <row r="18">
      <c r="A18" s="6" t="n">
        <v>16</v>
      </c>
      <c r="B18" s="6" t="n">
        <v>312</v>
      </c>
      <c r="C18" s="6" t="n">
        <v>3240</v>
      </c>
      <c r="D18" s="6" t="inlineStr"/>
    </row>
    <row r="19">
      <c r="A19" s="5" t="n">
        <v>17</v>
      </c>
      <c r="B19" s="5" t="n">
        <v>324</v>
      </c>
      <c r="C19" s="5" t="n">
        <v>3552</v>
      </c>
      <c r="D19" s="5" t="inlineStr"/>
    </row>
    <row r="20">
      <c r="A20" s="6" t="n">
        <v>18</v>
      </c>
      <c r="B20" s="6" t="n">
        <v>336</v>
      </c>
      <c r="C20" s="6" t="n">
        <v>3876</v>
      </c>
      <c r="D20" s="6" t="inlineStr"/>
    </row>
    <row r="21">
      <c r="A21" s="5" t="n">
        <v>19</v>
      </c>
      <c r="B21" s="5" t="n">
        <v>348</v>
      </c>
      <c r="C21" s="5" t="n">
        <v>4212</v>
      </c>
      <c r="D21" s="5" t="inlineStr"/>
    </row>
    <row r="22">
      <c r="A22" s="6" t="n">
        <v>20</v>
      </c>
      <c r="B22" s="6" t="n">
        <v>360</v>
      </c>
      <c r="C22" s="6" t="n">
        <v>4560</v>
      </c>
      <c r="D22" s="6" t="inlineStr"/>
    </row>
    <row r="23">
      <c r="A23" s="5" t="n">
        <v>21</v>
      </c>
      <c r="B23" s="5" t="n">
        <v>372</v>
      </c>
      <c r="C23" s="5" t="n">
        <v>4920</v>
      </c>
      <c r="D23" s="5" t="inlineStr"/>
    </row>
    <row r="24">
      <c r="A24" s="6" t="n">
        <v>22</v>
      </c>
      <c r="B24" s="6" t="n">
        <v>384</v>
      </c>
      <c r="C24" s="6" t="n">
        <v>5292</v>
      </c>
      <c r="D24" s="6" t="inlineStr"/>
    </row>
    <row r="25">
      <c r="A25" s="5" t="n">
        <v>23</v>
      </c>
      <c r="B25" s="5" t="n">
        <v>396</v>
      </c>
      <c r="C25" s="5" t="n">
        <v>5676</v>
      </c>
      <c r="D25" s="5" t="inlineStr"/>
    </row>
    <row r="26">
      <c r="A26" s="6" t="n">
        <v>24</v>
      </c>
      <c r="B26" s="6" t="n">
        <v>408</v>
      </c>
      <c r="C26" s="6" t="n">
        <v>6072</v>
      </c>
      <c r="D26" s="6" t="inlineStr"/>
    </row>
    <row r="27">
      <c r="A27" s="5" t="n">
        <v>25</v>
      </c>
      <c r="B27" s="5" t="n">
        <v>420</v>
      </c>
      <c r="C27" s="5" t="n">
        <v>6480</v>
      </c>
      <c r="D27" s="5" t="inlineStr">
        <is>
          <t>Specialization I</t>
        </is>
      </c>
    </row>
    <row r="28">
      <c r="A28" s="6" t="n">
        <v>26</v>
      </c>
      <c r="B28" s="6" t="n">
        <v>432</v>
      </c>
      <c r="C28" s="6" t="n">
        <v>6900</v>
      </c>
      <c r="D28" s="6" t="inlineStr"/>
    </row>
    <row r="29">
      <c r="A29" s="5" t="n">
        <v>27</v>
      </c>
      <c r="B29" s="5" t="n">
        <v>444</v>
      </c>
      <c r="C29" s="5" t="n">
        <v>7332</v>
      </c>
      <c r="D29" s="5" t="inlineStr"/>
    </row>
    <row r="30">
      <c r="A30" s="6" t="n">
        <v>28</v>
      </c>
      <c r="B30" s="6" t="n">
        <v>456</v>
      </c>
      <c r="C30" s="6" t="n">
        <v>7776</v>
      </c>
      <c r="D30" s="6" t="inlineStr"/>
    </row>
    <row r="31">
      <c r="A31" s="5" t="n">
        <v>29</v>
      </c>
      <c r="B31" s="5" t="n">
        <v>468</v>
      </c>
      <c r="C31" s="5" t="n">
        <v>8232</v>
      </c>
      <c r="D31" s="5" t="inlineStr"/>
    </row>
    <row r="32">
      <c r="A32" s="6" t="n">
        <v>30</v>
      </c>
      <c r="B32" s="6" t="n">
        <v>480</v>
      </c>
      <c r="C32" s="6" t="n">
        <v>8700</v>
      </c>
      <c r="D32" s="6" t="inlineStr"/>
    </row>
    <row r="33">
      <c r="A33" s="5" t="n">
        <v>31</v>
      </c>
      <c r="B33" s="5" t="n">
        <v>492</v>
      </c>
      <c r="C33" s="5" t="n">
        <v>9180</v>
      </c>
      <c r="D33" s="5" t="inlineStr"/>
    </row>
    <row r="34">
      <c r="A34" s="6" t="n">
        <v>32</v>
      </c>
      <c r="B34" s="6" t="n">
        <v>504</v>
      </c>
      <c r="C34" s="6" t="n">
        <v>9672</v>
      </c>
      <c r="D34" s="6" t="inlineStr"/>
    </row>
    <row r="35">
      <c r="A35" s="5" t="n">
        <v>33</v>
      </c>
      <c r="B35" s="5" t="n">
        <v>516</v>
      </c>
      <c r="C35" s="5" t="n">
        <v>10176</v>
      </c>
      <c r="D35" s="5" t="inlineStr"/>
    </row>
    <row r="36">
      <c r="A36" s="6" t="n">
        <v>34</v>
      </c>
      <c r="B36" s="6" t="n">
        <v>528</v>
      </c>
      <c r="C36" s="6" t="n">
        <v>10692</v>
      </c>
      <c r="D36" s="6" t="inlineStr"/>
    </row>
    <row r="37">
      <c r="A37" s="5" t="n">
        <v>35</v>
      </c>
      <c r="B37" s="5" t="n">
        <v>540</v>
      </c>
      <c r="C37" s="5" t="n">
        <v>11220</v>
      </c>
      <c r="D37" s="5" t="inlineStr"/>
    </row>
    <row r="38">
      <c r="A38" s="6" t="n">
        <v>36</v>
      </c>
      <c r="B38" s="6" t="n">
        <v>552</v>
      </c>
      <c r="C38" s="6" t="n">
        <v>11760</v>
      </c>
      <c r="D38" s="6" t="inlineStr"/>
    </row>
    <row r="39">
      <c r="A39" s="5" t="n">
        <v>37</v>
      </c>
      <c r="B39" s="5" t="n">
        <v>564</v>
      </c>
      <c r="C39" s="5" t="n">
        <v>12312</v>
      </c>
      <c r="D39" s="5" t="inlineStr"/>
    </row>
    <row r="40">
      <c r="A40" s="6" t="n">
        <v>38</v>
      </c>
      <c r="B40" s="6" t="n">
        <v>576</v>
      </c>
      <c r="C40" s="6" t="n">
        <v>12876</v>
      </c>
      <c r="D40" s="6" t="inlineStr"/>
    </row>
    <row r="41">
      <c r="A41" s="5" t="n">
        <v>39</v>
      </c>
      <c r="B41" s="5" t="n">
        <v>588</v>
      </c>
      <c r="C41" s="5" t="n">
        <v>13452</v>
      </c>
      <c r="D41" s="5" t="inlineStr"/>
    </row>
    <row r="42">
      <c r="A42" s="6" t="n">
        <v>40</v>
      </c>
      <c r="B42" s="6" t="n">
        <v>600</v>
      </c>
      <c r="C42" s="6" t="n">
        <v>14040</v>
      </c>
      <c r="D42" s="6" t="inlineStr"/>
    </row>
    <row r="43">
      <c r="A43" s="5" t="n">
        <v>41</v>
      </c>
      <c r="B43" s="5" t="n">
        <v>612</v>
      </c>
      <c r="C43" s="5" t="n">
        <v>14640</v>
      </c>
      <c r="D43" s="5" t="inlineStr"/>
    </row>
    <row r="44">
      <c r="A44" s="6" t="n">
        <v>42</v>
      </c>
      <c r="B44" s="6" t="n">
        <v>624</v>
      </c>
      <c r="C44" s="6" t="n">
        <v>15252</v>
      </c>
      <c r="D44" s="6" t="inlineStr"/>
    </row>
    <row r="45">
      <c r="A45" s="5" t="n">
        <v>43</v>
      </c>
      <c r="B45" s="5" t="n">
        <v>636</v>
      </c>
      <c r="C45" s="5" t="n">
        <v>15876</v>
      </c>
      <c r="D45" s="5" t="inlineStr"/>
    </row>
    <row r="46">
      <c r="A46" s="6" t="n">
        <v>44</v>
      </c>
      <c r="B46" s="6" t="n">
        <v>648</v>
      </c>
      <c r="C46" s="6" t="n">
        <v>16512</v>
      </c>
      <c r="D46" s="6" t="inlineStr"/>
    </row>
    <row r="47">
      <c r="A47" s="5" t="n">
        <v>45</v>
      </c>
      <c r="B47" s="5" t="n">
        <v>660</v>
      </c>
      <c r="C47" s="5" t="n">
        <v>17160</v>
      </c>
      <c r="D47" s="5" t="inlineStr"/>
    </row>
    <row r="48">
      <c r="A48" s="6" t="n">
        <v>46</v>
      </c>
      <c r="B48" s="6" t="n">
        <v>672</v>
      </c>
      <c r="C48" s="6" t="n">
        <v>17820</v>
      </c>
      <c r="D48" s="6" t="inlineStr"/>
    </row>
    <row r="49">
      <c r="A49" s="5" t="n">
        <v>47</v>
      </c>
      <c r="B49" s="5" t="n">
        <v>684</v>
      </c>
      <c r="C49" s="5" t="n">
        <v>18492</v>
      </c>
      <c r="D49" s="5" t="inlineStr"/>
    </row>
    <row r="50">
      <c r="A50" s="6" t="n">
        <v>48</v>
      </c>
      <c r="B50" s="6" t="n">
        <v>696</v>
      </c>
      <c r="C50" s="6" t="n">
        <v>19176</v>
      </c>
      <c r="D50" s="6" t="inlineStr"/>
    </row>
    <row r="51">
      <c r="A51" s="5" t="n">
        <v>49</v>
      </c>
      <c r="B51" s="5" t="n">
        <v>708</v>
      </c>
      <c r="C51" s="5" t="n">
        <v>19872</v>
      </c>
      <c r="D51" s="5" t="inlineStr"/>
    </row>
    <row r="52">
      <c r="A52" s="6" t="n">
        <v>50</v>
      </c>
      <c r="B52" s="6" t="n">
        <v>720</v>
      </c>
      <c r="C52" s="6" t="n">
        <v>20580</v>
      </c>
      <c r="D52" s="6" t="inlineStr">
        <is>
          <t>Specialization II</t>
        </is>
      </c>
    </row>
    <row r="53">
      <c r="A53" s="5" t="n">
        <v>51</v>
      </c>
      <c r="B53" s="5" t="n">
        <v>732</v>
      </c>
      <c r="C53" s="5" t="n">
        <v>21300</v>
      </c>
      <c r="D53" s="5" t="inlineStr"/>
    </row>
    <row r="54">
      <c r="A54" s="6" t="n">
        <v>52</v>
      </c>
      <c r="B54" s="6" t="n">
        <v>744</v>
      </c>
      <c r="C54" s="6" t="n">
        <v>22032</v>
      </c>
      <c r="D54" s="6" t="inlineStr"/>
    </row>
    <row r="55">
      <c r="A55" s="5" t="n">
        <v>53</v>
      </c>
      <c r="B55" s="5" t="n">
        <v>756</v>
      </c>
      <c r="C55" s="5" t="n">
        <v>22776</v>
      </c>
      <c r="D55" s="5" t="inlineStr"/>
    </row>
    <row r="56">
      <c r="A56" s="6" t="n">
        <v>54</v>
      </c>
      <c r="B56" s="6" t="n">
        <v>768</v>
      </c>
      <c r="C56" s="6" t="n">
        <v>23532</v>
      </c>
      <c r="D56" s="6" t="inlineStr"/>
    </row>
    <row r="57">
      <c r="A57" s="5" t="n">
        <v>55</v>
      </c>
      <c r="B57" s="5" t="n">
        <v>780</v>
      </c>
      <c r="C57" s="5" t="n">
        <v>24300</v>
      </c>
      <c r="D57" s="5" t="inlineStr"/>
    </row>
    <row r="58">
      <c r="A58" s="6" t="n">
        <v>56</v>
      </c>
      <c r="B58" s="6" t="n">
        <v>792</v>
      </c>
      <c r="C58" s="6" t="n">
        <v>25080</v>
      </c>
      <c r="D58" s="6" t="inlineStr"/>
    </row>
    <row r="59">
      <c r="A59" s="5" t="n">
        <v>57</v>
      </c>
      <c r="B59" s="5" t="n">
        <v>804</v>
      </c>
      <c r="C59" s="5" t="n">
        <v>25872</v>
      </c>
      <c r="D59" s="5" t="inlineStr"/>
    </row>
    <row r="60">
      <c r="A60" s="6" t="n">
        <v>58</v>
      </c>
      <c r="B60" s="6" t="n">
        <v>816</v>
      </c>
      <c r="C60" s="6" t="n">
        <v>26676</v>
      </c>
      <c r="D60" s="6" t="inlineStr"/>
    </row>
    <row r="61">
      <c r="A61" s="5" t="n">
        <v>59</v>
      </c>
      <c r="B61" s="5" t="n">
        <v>828</v>
      </c>
      <c r="C61" s="5" t="n">
        <v>27492</v>
      </c>
      <c r="D61" s="5" t="inlineStr"/>
    </row>
    <row r="62">
      <c r="A62" s="6" t="n">
        <v>60</v>
      </c>
      <c r="B62" s="6" t="n">
        <v>840</v>
      </c>
      <c r="C62" s="6" t="n">
        <v>28320</v>
      </c>
      <c r="D62" s="6" t="inlineStr"/>
    </row>
    <row r="63">
      <c r="A63" s="5" t="n">
        <v>61</v>
      </c>
      <c r="B63" s="5" t="n">
        <v>852</v>
      </c>
      <c r="C63" s="5" t="n">
        <v>29160</v>
      </c>
      <c r="D63" s="5" t="inlineStr"/>
    </row>
    <row r="64">
      <c r="A64" s="6" t="n">
        <v>62</v>
      </c>
      <c r="B64" s="6" t="n">
        <v>864</v>
      </c>
      <c r="C64" s="6" t="n">
        <v>30012</v>
      </c>
      <c r="D64" s="6" t="inlineStr"/>
    </row>
    <row r="65">
      <c r="A65" s="5" t="n">
        <v>63</v>
      </c>
      <c r="B65" s="5" t="n">
        <v>876</v>
      </c>
      <c r="C65" s="5" t="n">
        <v>30876</v>
      </c>
      <c r="D65" s="5" t="inlineStr"/>
    </row>
    <row r="66">
      <c r="A66" s="6" t="n">
        <v>64</v>
      </c>
      <c r="B66" s="6" t="n">
        <v>888</v>
      </c>
      <c r="C66" s="6" t="n">
        <v>31752</v>
      </c>
      <c r="D66" s="6" t="inlineStr"/>
    </row>
    <row r="67">
      <c r="A67" s="5" t="n">
        <v>65</v>
      </c>
      <c r="B67" s="5" t="n">
        <v>900</v>
      </c>
      <c r="C67" s="5" t="n">
        <v>32640</v>
      </c>
      <c r="D67" s="5" t="inlineStr"/>
    </row>
    <row r="68">
      <c r="A68" s="6" t="n">
        <v>66</v>
      </c>
      <c r="B68" s="6" t="n">
        <v>912</v>
      </c>
      <c r="C68" s="6" t="n">
        <v>33540</v>
      </c>
      <c r="D68" s="6" t="inlineStr"/>
    </row>
    <row r="69">
      <c r="A69" s="5" t="n">
        <v>67</v>
      </c>
      <c r="B69" s="5" t="n">
        <v>924</v>
      </c>
      <c r="C69" s="5" t="n">
        <v>34452</v>
      </c>
      <c r="D69" s="5" t="inlineStr"/>
    </row>
    <row r="70">
      <c r="A70" s="6" t="n">
        <v>68</v>
      </c>
      <c r="B70" s="6" t="n">
        <v>936</v>
      </c>
      <c r="C70" s="6" t="n">
        <v>35376</v>
      </c>
      <c r="D70" s="6" t="inlineStr"/>
    </row>
    <row r="71">
      <c r="A71" s="5" t="n">
        <v>69</v>
      </c>
      <c r="B71" s="5" t="n">
        <v>948</v>
      </c>
      <c r="C71" s="5" t="n">
        <v>36312</v>
      </c>
      <c r="D71" s="5" t="inlineStr"/>
    </row>
    <row r="72">
      <c r="A72" s="6" t="n">
        <v>70</v>
      </c>
      <c r="B72" s="6" t="n">
        <v>960</v>
      </c>
      <c r="C72" s="6" t="n">
        <v>37260</v>
      </c>
      <c r="D72" s="6" t="inlineStr"/>
    </row>
    <row r="73">
      <c r="A73" s="5" t="n">
        <v>71</v>
      </c>
      <c r="B73" s="5" t="n">
        <v>972</v>
      </c>
      <c r="C73" s="5" t="n">
        <v>38220</v>
      </c>
      <c r="D73" s="5" t="inlineStr"/>
    </row>
    <row r="74">
      <c r="A74" s="6" t="n">
        <v>72</v>
      </c>
      <c r="B74" s="6" t="n">
        <v>984</v>
      </c>
      <c r="C74" s="6" t="n">
        <v>39192</v>
      </c>
      <c r="D74" s="6" t="inlineStr"/>
    </row>
    <row r="75">
      <c r="A75" s="5" t="n">
        <v>73</v>
      </c>
      <c r="B75" s="5" t="n">
        <v>996</v>
      </c>
      <c r="C75" s="5" t="n">
        <v>40176</v>
      </c>
      <c r="D75" s="5" t="inlineStr"/>
    </row>
    <row r="76">
      <c r="A76" s="6" t="n">
        <v>74</v>
      </c>
      <c r="B76" s="6" t="n">
        <v>1008</v>
      </c>
      <c r="C76" s="6" t="n">
        <v>41172</v>
      </c>
      <c r="D76" s="6" t="inlineStr"/>
    </row>
    <row r="77">
      <c r="A77" s="5" t="n">
        <v>75</v>
      </c>
      <c r="B77" s="5" t="n">
        <v>1020</v>
      </c>
      <c r="C77" s="5" t="n">
        <v>42180</v>
      </c>
      <c r="D77" s="5" t="inlineStr">
        <is>
          <t>Mastery perk</t>
        </is>
      </c>
    </row>
    <row r="78">
      <c r="A78" s="6" t="n">
        <v>76</v>
      </c>
      <c r="B78" s="6" t="n">
        <v>1032</v>
      </c>
      <c r="C78" s="6" t="n">
        <v>43200</v>
      </c>
      <c r="D78" s="6" t="inlineStr"/>
    </row>
    <row r="79">
      <c r="A79" s="5" t="n">
        <v>77</v>
      </c>
      <c r="B79" s="5" t="n">
        <v>1044</v>
      </c>
      <c r="C79" s="5" t="n">
        <v>44232</v>
      </c>
      <c r="D79" s="5" t="inlineStr"/>
    </row>
    <row r="80">
      <c r="A80" s="6" t="n">
        <v>78</v>
      </c>
      <c r="B80" s="6" t="n">
        <v>1056</v>
      </c>
      <c r="C80" s="6" t="n">
        <v>45276</v>
      </c>
      <c r="D80" s="6" t="inlineStr"/>
    </row>
    <row r="81">
      <c r="A81" s="5" t="n">
        <v>79</v>
      </c>
      <c r="B81" s="5" t="n">
        <v>1068</v>
      </c>
      <c r="C81" s="5" t="n">
        <v>46332</v>
      </c>
      <c r="D81" s="5" t="inlineStr"/>
    </row>
    <row r="82">
      <c r="A82" s="6" t="n">
        <v>80</v>
      </c>
      <c r="B82" s="6" t="n">
        <v>1080</v>
      </c>
      <c r="C82" s="6" t="n">
        <v>47400</v>
      </c>
      <c r="D82" s="6" t="inlineStr"/>
    </row>
    <row r="83">
      <c r="A83" s="5" t="n">
        <v>81</v>
      </c>
      <c r="B83" s="5" t="n">
        <v>1092</v>
      </c>
      <c r="C83" s="5" t="n">
        <v>48480</v>
      </c>
      <c r="D83" s="5" t="inlineStr"/>
    </row>
    <row r="84">
      <c r="A84" s="6" t="n">
        <v>82</v>
      </c>
      <c r="B84" s="6" t="n">
        <v>1104</v>
      </c>
      <c r="C84" s="6" t="n">
        <v>49572</v>
      </c>
      <c r="D84" s="6" t="inlineStr"/>
    </row>
    <row r="85">
      <c r="A85" s="5" t="n">
        <v>83</v>
      </c>
      <c r="B85" s="5" t="n">
        <v>1116</v>
      </c>
      <c r="C85" s="5" t="n">
        <v>50676</v>
      </c>
      <c r="D85" s="5" t="inlineStr"/>
    </row>
    <row r="86">
      <c r="A86" s="6" t="n">
        <v>84</v>
      </c>
      <c r="B86" s="6" t="n">
        <v>1128</v>
      </c>
      <c r="C86" s="6" t="n">
        <v>51792</v>
      </c>
      <c r="D86" s="6" t="inlineStr"/>
    </row>
    <row r="87">
      <c r="A87" s="5" t="n">
        <v>85</v>
      </c>
      <c r="B87" s="5" t="n">
        <v>1140</v>
      </c>
      <c r="C87" s="5" t="n">
        <v>52920</v>
      </c>
      <c r="D87" s="5" t="inlineStr"/>
    </row>
    <row r="88">
      <c r="A88" s="6" t="n">
        <v>86</v>
      </c>
      <c r="B88" s="6" t="n">
        <v>1152</v>
      </c>
      <c r="C88" s="6" t="n">
        <v>54060</v>
      </c>
      <c r="D88" s="6" t="inlineStr"/>
    </row>
    <row r="89">
      <c r="A89" s="5" t="n">
        <v>87</v>
      </c>
      <c r="B89" s="5" t="n">
        <v>1164</v>
      </c>
      <c r="C89" s="5" t="n">
        <v>55212</v>
      </c>
      <c r="D89" s="5" t="inlineStr"/>
    </row>
    <row r="90">
      <c r="A90" s="6" t="n">
        <v>88</v>
      </c>
      <c r="B90" s="6" t="n">
        <v>1176</v>
      </c>
      <c r="C90" s="6" t="n">
        <v>56376</v>
      </c>
      <c r="D90" s="6" t="inlineStr"/>
    </row>
    <row r="91">
      <c r="A91" s="5" t="n">
        <v>89</v>
      </c>
      <c r="B91" s="5" t="n">
        <v>1188</v>
      </c>
      <c r="C91" s="5" t="n">
        <v>57552</v>
      </c>
      <c r="D91" s="5" t="inlineStr"/>
    </row>
    <row r="92">
      <c r="A92" s="6" t="n">
        <v>90</v>
      </c>
      <c r="B92" s="6" t="n">
        <v>1200</v>
      </c>
      <c r="C92" s="6" t="n">
        <v>58740</v>
      </c>
      <c r="D92" s="6" t="inlineStr"/>
    </row>
    <row r="93">
      <c r="A93" s="5" t="n">
        <v>91</v>
      </c>
      <c r="B93" s="5" t="n">
        <v>1212</v>
      </c>
      <c r="C93" s="5" t="n">
        <v>59940</v>
      </c>
      <c r="D93" s="5" t="inlineStr"/>
    </row>
    <row r="94">
      <c r="A94" s="6" t="n">
        <v>92</v>
      </c>
      <c r="B94" s="6" t="n">
        <v>1224</v>
      </c>
      <c r="C94" s="6" t="n">
        <v>61152</v>
      </c>
      <c r="D94" s="6" t="inlineStr"/>
    </row>
    <row r="95">
      <c r="A95" s="5" t="n">
        <v>93</v>
      </c>
      <c r="B95" s="5" t="n">
        <v>1236</v>
      </c>
      <c r="C95" s="5" t="n">
        <v>62376</v>
      </c>
      <c r="D95" s="5" t="inlineStr"/>
    </row>
    <row r="96">
      <c r="A96" s="6" t="n">
        <v>94</v>
      </c>
      <c r="B96" s="6" t="n">
        <v>1248</v>
      </c>
      <c r="C96" s="6" t="n">
        <v>63612</v>
      </c>
      <c r="D96" s="6" t="inlineStr"/>
    </row>
    <row r="97">
      <c r="A97" s="5" t="n">
        <v>95</v>
      </c>
      <c r="B97" s="5" t="n">
        <v>1260</v>
      </c>
      <c r="C97" s="5" t="n">
        <v>64860</v>
      </c>
      <c r="D97" s="5" t="inlineStr"/>
    </row>
    <row r="98">
      <c r="A98" s="6" t="n">
        <v>96</v>
      </c>
      <c r="B98" s="6" t="n">
        <v>1272</v>
      </c>
      <c r="C98" s="6" t="n">
        <v>66120</v>
      </c>
      <c r="D98" s="6" t="inlineStr"/>
    </row>
    <row r="99">
      <c r="A99" s="5" t="n">
        <v>97</v>
      </c>
      <c r="B99" s="5" t="n">
        <v>1284</v>
      </c>
      <c r="C99" s="5" t="n">
        <v>67392</v>
      </c>
      <c r="D99" s="5" t="inlineStr"/>
    </row>
    <row r="100">
      <c r="A100" s="6" t="n">
        <v>98</v>
      </c>
      <c r="B100" s="6" t="n">
        <v>1296</v>
      </c>
      <c r="C100" s="6" t="n">
        <v>68676</v>
      </c>
      <c r="D100" s="6" t="inlineStr"/>
    </row>
    <row r="101">
      <c r="A101" s="5" t="n">
        <v>99</v>
      </c>
      <c r="B101" s="5" t="n">
        <v>1308</v>
      </c>
      <c r="C101" s="5" t="n">
        <v>69972</v>
      </c>
      <c r="D101" s="5" t="inlineStr"/>
    </row>
    <row r="102">
      <c r="A102" s="6" t="n">
        <v>100</v>
      </c>
      <c r="B102" s="6" t="n">
        <v>0</v>
      </c>
      <c r="C102" s="6" t="n">
        <v>71280</v>
      </c>
      <c r="D102" s="6" t="inlineStr">
        <is>
          <t>Capstone / Frontier eligible</t>
        </is>
      </c>
    </row>
  </sheetData>
  <conditionalFormatting sqref="A3:A102">
    <cfRule type="cellIs" priority="1" operator="equal" dxfId="0">
      <formula>100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2" customWidth="1" min="4" max="4"/>
    <col width="18" customWidth="1" min="5" max="5"/>
    <col width="18" customWidth="1" min="6" max="6"/>
    <col width="10" customWidth="1" min="7" max="7"/>
    <col width="10" customWidth="1" min="8" max="8"/>
    <col width="15" customWidth="1" min="9" max="9"/>
    <col width="24" customWidth="1" min="10" max="10"/>
    <col width="34" customWidth="1" min="11" max="11"/>
  </cols>
  <sheetData>
    <row r="1">
      <c r="A1" s="3" t="inlineStr">
        <is>
          <t>Focused-node 30-day simulation</t>
        </is>
      </c>
    </row>
    <row r="2">
      <c r="A2" s="4" t="inlineStr">
        <is>
          <t>Day</t>
        </is>
      </c>
      <c r="B2" s="4" t="inlineStr">
        <is>
          <t>Passive</t>
        </is>
      </c>
      <c r="C2" s="4" t="inlineStr">
        <is>
          <t>Collect</t>
        </is>
      </c>
      <c r="D2" s="4" t="inlineStr">
        <is>
          <t>Commission</t>
        </is>
      </c>
      <c r="E2" s="4" t="inlineStr">
        <is>
          <t>First expedition</t>
        </is>
      </c>
      <c r="F2" s="4" t="inlineStr">
        <is>
          <t>Extra expedition</t>
        </is>
      </c>
      <c r="G2" s="4" t="inlineStr">
        <is>
          <t>Weekly</t>
        </is>
      </c>
      <c r="H2" s="4" t="inlineStr">
        <is>
          <t>Tutorial</t>
        </is>
      </c>
      <c r="I2" s="4" t="inlineStr">
        <is>
          <t>Daily total</t>
        </is>
      </c>
      <c r="J2" s="4" t="inlineStr">
        <is>
          <t>Cumulative</t>
        </is>
      </c>
      <c r="K2" s="4" t="inlineStr">
        <is>
          <t>Projected level</t>
        </is>
      </c>
    </row>
    <row r="3">
      <c r="A3" s="5" t="n">
        <v>1</v>
      </c>
      <c r="B3" s="7" t="n">
        <v>650</v>
      </c>
      <c r="C3" s="7" t="n">
        <v>100</v>
      </c>
      <c r="D3" s="7" t="n">
        <v>400</v>
      </c>
      <c r="E3" s="7" t="n">
        <v>700</v>
      </c>
      <c r="F3" s="7" t="n">
        <v>0</v>
      </c>
      <c r="G3" s="7" t="n">
        <v>0</v>
      </c>
      <c r="H3" s="7" t="n">
        <v>2000</v>
      </c>
      <c r="I3" s="5">
        <f>SUM(B3:H3)</f>
        <v/>
      </c>
      <c r="J3" s="5">
        <f>IF(A3=1,I3,J2+I3)</f>
        <v/>
      </c>
      <c r="K3" s="5">
        <f>LOOKUP(J3,'XP Curve'!$C$3:$C$102,'XP Curve'!$A$3:$A$102)</f>
        <v/>
      </c>
    </row>
    <row r="4">
      <c r="A4" s="6" t="n">
        <v>2</v>
      </c>
      <c r="B4" s="7" t="n">
        <v>650</v>
      </c>
      <c r="C4" s="7" t="n">
        <v>100</v>
      </c>
      <c r="D4" s="7" t="n">
        <v>400</v>
      </c>
      <c r="E4" s="7" t="n">
        <v>700</v>
      </c>
      <c r="F4" s="7" t="n">
        <v>0</v>
      </c>
      <c r="G4" s="7" t="n">
        <v>0</v>
      </c>
      <c r="H4" s="7" t="n">
        <v>0</v>
      </c>
      <c r="I4" s="6">
        <f>SUM(B4:H4)</f>
        <v/>
      </c>
      <c r="J4" s="6">
        <f>IF(A4=1,I4,J3+I4)</f>
        <v/>
      </c>
      <c r="K4" s="6">
        <f>LOOKUP(J4,'XP Curve'!$C$3:$C$102,'XP Curve'!$A$3:$A$102)</f>
        <v/>
      </c>
    </row>
    <row r="5">
      <c r="A5" s="5" t="n">
        <v>3</v>
      </c>
      <c r="B5" s="7" t="n">
        <v>650</v>
      </c>
      <c r="C5" s="7" t="n">
        <v>100</v>
      </c>
      <c r="D5" s="7" t="n">
        <v>400</v>
      </c>
      <c r="E5" s="7" t="n">
        <v>700</v>
      </c>
      <c r="F5" s="7" t="n">
        <v>0</v>
      </c>
      <c r="G5" s="7" t="n">
        <v>0</v>
      </c>
      <c r="H5" s="7" t="n">
        <v>0</v>
      </c>
      <c r="I5" s="5">
        <f>SUM(B5:H5)</f>
        <v/>
      </c>
      <c r="J5" s="5">
        <f>IF(A5=1,I5,J4+I5)</f>
        <v/>
      </c>
      <c r="K5" s="5">
        <f>LOOKUP(J5,'XP Curve'!$C$3:$C$102,'XP Curve'!$A$3:$A$102)</f>
        <v/>
      </c>
    </row>
    <row r="6">
      <c r="A6" s="6" t="n">
        <v>4</v>
      </c>
      <c r="B6" s="7" t="n">
        <v>650</v>
      </c>
      <c r="C6" s="7" t="n">
        <v>100</v>
      </c>
      <c r="D6" s="7" t="n">
        <v>400</v>
      </c>
      <c r="E6" s="7" t="n">
        <v>700</v>
      </c>
      <c r="F6" s="7" t="n">
        <v>0</v>
      </c>
      <c r="G6" s="7" t="n">
        <v>0</v>
      </c>
      <c r="H6" s="7" t="n">
        <v>0</v>
      </c>
      <c r="I6" s="6">
        <f>SUM(B6:H6)</f>
        <v/>
      </c>
      <c r="J6" s="6">
        <f>IF(A6=1,I6,J5+I6)</f>
        <v/>
      </c>
      <c r="K6" s="6">
        <f>LOOKUP(J6,'XP Curve'!$C$3:$C$102,'XP Curve'!$A$3:$A$102)</f>
        <v/>
      </c>
    </row>
    <row r="7">
      <c r="A7" s="5" t="n">
        <v>5</v>
      </c>
      <c r="B7" s="7" t="n">
        <v>650</v>
      </c>
      <c r="C7" s="7" t="n">
        <v>100</v>
      </c>
      <c r="D7" s="7" t="n">
        <v>400</v>
      </c>
      <c r="E7" s="7" t="n">
        <v>700</v>
      </c>
      <c r="F7" s="7" t="n">
        <v>0</v>
      </c>
      <c r="G7" s="7" t="n">
        <v>0</v>
      </c>
      <c r="H7" s="7" t="n">
        <v>0</v>
      </c>
      <c r="I7" s="5">
        <f>SUM(B7:H7)</f>
        <v/>
      </c>
      <c r="J7" s="5">
        <f>IF(A7=1,I7,J6+I7)</f>
        <v/>
      </c>
      <c r="K7" s="5">
        <f>LOOKUP(J7,'XP Curve'!$C$3:$C$102,'XP Curve'!$A$3:$A$102)</f>
        <v/>
      </c>
    </row>
    <row r="8">
      <c r="A8" s="6" t="n">
        <v>6</v>
      </c>
      <c r="B8" s="7" t="n">
        <v>650</v>
      </c>
      <c r="C8" s="7" t="n">
        <v>100</v>
      </c>
      <c r="D8" s="7" t="n">
        <v>400</v>
      </c>
      <c r="E8" s="7" t="n">
        <v>700</v>
      </c>
      <c r="F8" s="7" t="n">
        <v>0</v>
      </c>
      <c r="G8" s="7" t="n">
        <v>0</v>
      </c>
      <c r="H8" s="7" t="n">
        <v>0</v>
      </c>
      <c r="I8" s="6">
        <f>SUM(B8:H8)</f>
        <v/>
      </c>
      <c r="J8" s="6">
        <f>IF(A8=1,I8,J7+I8)</f>
        <v/>
      </c>
      <c r="K8" s="6">
        <f>LOOKUP(J8,'XP Curve'!$C$3:$C$102,'XP Curve'!$A$3:$A$102)</f>
        <v/>
      </c>
    </row>
    <row r="9">
      <c r="A9" s="5" t="n">
        <v>7</v>
      </c>
      <c r="B9" s="7" t="n">
        <v>650</v>
      </c>
      <c r="C9" s="7" t="n">
        <v>100</v>
      </c>
      <c r="D9" s="7" t="n">
        <v>400</v>
      </c>
      <c r="E9" s="7" t="n">
        <v>700</v>
      </c>
      <c r="F9" s="7" t="n">
        <v>0</v>
      </c>
      <c r="G9" s="7" t="n">
        <v>3500</v>
      </c>
      <c r="H9" s="7" t="n">
        <v>0</v>
      </c>
      <c r="I9" s="5">
        <f>SUM(B9:H9)</f>
        <v/>
      </c>
      <c r="J9" s="5">
        <f>IF(A9=1,I9,J8+I9)</f>
        <v/>
      </c>
      <c r="K9" s="5">
        <f>LOOKUP(J9,'XP Curve'!$C$3:$C$102,'XP Curve'!$A$3:$A$102)</f>
        <v/>
      </c>
    </row>
    <row r="10">
      <c r="A10" s="6" t="n">
        <v>8</v>
      </c>
      <c r="B10" s="7" t="n">
        <v>650</v>
      </c>
      <c r="C10" s="7" t="n">
        <v>100</v>
      </c>
      <c r="D10" s="7" t="n">
        <v>400</v>
      </c>
      <c r="E10" s="7" t="n">
        <v>700</v>
      </c>
      <c r="F10" s="7" t="n">
        <v>0</v>
      </c>
      <c r="G10" s="7" t="n">
        <v>0</v>
      </c>
      <c r="H10" s="7" t="n">
        <v>0</v>
      </c>
      <c r="I10" s="6">
        <f>SUM(B10:H10)</f>
        <v/>
      </c>
      <c r="J10" s="6">
        <f>IF(A10=1,I10,J9+I10)</f>
        <v/>
      </c>
      <c r="K10" s="6">
        <f>LOOKUP(J10,'XP Curve'!$C$3:$C$102,'XP Curve'!$A$3:$A$102)</f>
        <v/>
      </c>
    </row>
    <row r="11">
      <c r="A11" s="5" t="n">
        <v>9</v>
      </c>
      <c r="B11" s="7" t="n">
        <v>650</v>
      </c>
      <c r="C11" s="7" t="n">
        <v>100</v>
      </c>
      <c r="D11" s="7" t="n">
        <v>400</v>
      </c>
      <c r="E11" s="7" t="n">
        <v>700</v>
      </c>
      <c r="F11" s="7" t="n">
        <v>0</v>
      </c>
      <c r="G11" s="7" t="n">
        <v>0</v>
      </c>
      <c r="H11" s="7" t="n">
        <v>0</v>
      </c>
      <c r="I11" s="5">
        <f>SUM(B11:H11)</f>
        <v/>
      </c>
      <c r="J11" s="5">
        <f>IF(A11=1,I11,J10+I11)</f>
        <v/>
      </c>
      <c r="K11" s="5">
        <f>LOOKUP(J11,'XP Curve'!$C$3:$C$102,'XP Curve'!$A$3:$A$102)</f>
        <v/>
      </c>
    </row>
    <row r="12">
      <c r="A12" s="6" t="n">
        <v>10</v>
      </c>
      <c r="B12" s="7" t="n">
        <v>650</v>
      </c>
      <c r="C12" s="7" t="n">
        <v>100</v>
      </c>
      <c r="D12" s="7" t="n">
        <v>400</v>
      </c>
      <c r="E12" s="7" t="n">
        <v>700</v>
      </c>
      <c r="F12" s="7" t="n">
        <v>0</v>
      </c>
      <c r="G12" s="7" t="n">
        <v>0</v>
      </c>
      <c r="H12" s="7" t="n">
        <v>0</v>
      </c>
      <c r="I12" s="6">
        <f>SUM(B12:H12)</f>
        <v/>
      </c>
      <c r="J12" s="6">
        <f>IF(A12=1,I12,J11+I12)</f>
        <v/>
      </c>
      <c r="K12" s="6">
        <f>LOOKUP(J12,'XP Curve'!$C$3:$C$102,'XP Curve'!$A$3:$A$102)</f>
        <v/>
      </c>
    </row>
    <row r="13">
      <c r="A13" s="5" t="n">
        <v>11</v>
      </c>
      <c r="B13" s="7" t="n">
        <v>650</v>
      </c>
      <c r="C13" s="7" t="n">
        <v>100</v>
      </c>
      <c r="D13" s="7" t="n">
        <v>400</v>
      </c>
      <c r="E13" s="7" t="n">
        <v>700</v>
      </c>
      <c r="F13" s="7" t="n">
        <v>0</v>
      </c>
      <c r="G13" s="7" t="n">
        <v>0</v>
      </c>
      <c r="H13" s="7" t="n">
        <v>0</v>
      </c>
      <c r="I13" s="5">
        <f>SUM(B13:H13)</f>
        <v/>
      </c>
      <c r="J13" s="5">
        <f>IF(A13=1,I13,J12+I13)</f>
        <v/>
      </c>
      <c r="K13" s="5">
        <f>LOOKUP(J13,'XP Curve'!$C$3:$C$102,'XP Curve'!$A$3:$A$102)</f>
        <v/>
      </c>
    </row>
    <row r="14">
      <c r="A14" s="6" t="n">
        <v>12</v>
      </c>
      <c r="B14" s="7" t="n">
        <v>650</v>
      </c>
      <c r="C14" s="7" t="n">
        <v>100</v>
      </c>
      <c r="D14" s="7" t="n">
        <v>400</v>
      </c>
      <c r="E14" s="7" t="n">
        <v>700</v>
      </c>
      <c r="F14" s="7" t="n">
        <v>0</v>
      </c>
      <c r="G14" s="7" t="n">
        <v>0</v>
      </c>
      <c r="H14" s="7" t="n">
        <v>0</v>
      </c>
      <c r="I14" s="6">
        <f>SUM(B14:H14)</f>
        <v/>
      </c>
      <c r="J14" s="6">
        <f>IF(A14=1,I14,J13+I14)</f>
        <v/>
      </c>
      <c r="K14" s="6">
        <f>LOOKUP(J14,'XP Curve'!$C$3:$C$102,'XP Curve'!$A$3:$A$102)</f>
        <v/>
      </c>
    </row>
    <row r="15">
      <c r="A15" s="5" t="n">
        <v>13</v>
      </c>
      <c r="B15" s="7" t="n">
        <v>650</v>
      </c>
      <c r="C15" s="7" t="n">
        <v>100</v>
      </c>
      <c r="D15" s="7" t="n">
        <v>400</v>
      </c>
      <c r="E15" s="7" t="n">
        <v>700</v>
      </c>
      <c r="F15" s="7" t="n">
        <v>0</v>
      </c>
      <c r="G15" s="7" t="n">
        <v>0</v>
      </c>
      <c r="H15" s="7" t="n">
        <v>0</v>
      </c>
      <c r="I15" s="5">
        <f>SUM(B15:H15)</f>
        <v/>
      </c>
      <c r="J15" s="5">
        <f>IF(A15=1,I15,J14+I15)</f>
        <v/>
      </c>
      <c r="K15" s="5">
        <f>LOOKUP(J15,'XP Curve'!$C$3:$C$102,'XP Curve'!$A$3:$A$102)</f>
        <v/>
      </c>
    </row>
    <row r="16">
      <c r="A16" s="6" t="n">
        <v>14</v>
      </c>
      <c r="B16" s="7" t="n">
        <v>650</v>
      </c>
      <c r="C16" s="7" t="n">
        <v>100</v>
      </c>
      <c r="D16" s="7" t="n">
        <v>400</v>
      </c>
      <c r="E16" s="7" t="n">
        <v>700</v>
      </c>
      <c r="F16" s="7" t="n">
        <v>0</v>
      </c>
      <c r="G16" s="7" t="n">
        <v>3500</v>
      </c>
      <c r="H16" s="7" t="n">
        <v>0</v>
      </c>
      <c r="I16" s="6">
        <f>SUM(B16:H16)</f>
        <v/>
      </c>
      <c r="J16" s="6">
        <f>IF(A16=1,I16,J15+I16)</f>
        <v/>
      </c>
      <c r="K16" s="6">
        <f>LOOKUP(J16,'XP Curve'!$C$3:$C$102,'XP Curve'!$A$3:$A$102)</f>
        <v/>
      </c>
    </row>
    <row r="17">
      <c r="A17" s="5" t="n">
        <v>15</v>
      </c>
      <c r="B17" s="7" t="n">
        <v>650</v>
      </c>
      <c r="C17" s="7" t="n">
        <v>100</v>
      </c>
      <c r="D17" s="7" t="n">
        <v>400</v>
      </c>
      <c r="E17" s="7" t="n">
        <v>700</v>
      </c>
      <c r="F17" s="7" t="n">
        <v>0</v>
      </c>
      <c r="G17" s="7" t="n">
        <v>0</v>
      </c>
      <c r="H17" s="7" t="n">
        <v>0</v>
      </c>
      <c r="I17" s="5">
        <f>SUM(B17:H17)</f>
        <v/>
      </c>
      <c r="J17" s="5">
        <f>IF(A17=1,I17,J16+I17)</f>
        <v/>
      </c>
      <c r="K17" s="5">
        <f>LOOKUP(J17,'XP Curve'!$C$3:$C$102,'XP Curve'!$A$3:$A$102)</f>
        <v/>
      </c>
    </row>
    <row r="18">
      <c r="A18" s="6" t="n">
        <v>16</v>
      </c>
      <c r="B18" s="7" t="n">
        <v>650</v>
      </c>
      <c r="C18" s="7" t="n">
        <v>100</v>
      </c>
      <c r="D18" s="7" t="n">
        <v>400</v>
      </c>
      <c r="E18" s="7" t="n">
        <v>700</v>
      </c>
      <c r="F18" s="7" t="n">
        <v>0</v>
      </c>
      <c r="G18" s="7" t="n">
        <v>0</v>
      </c>
      <c r="H18" s="7" t="n">
        <v>0</v>
      </c>
      <c r="I18" s="6">
        <f>SUM(B18:H18)</f>
        <v/>
      </c>
      <c r="J18" s="6">
        <f>IF(A18=1,I18,J17+I18)</f>
        <v/>
      </c>
      <c r="K18" s="6">
        <f>LOOKUP(J18,'XP Curve'!$C$3:$C$102,'XP Curve'!$A$3:$A$102)</f>
        <v/>
      </c>
    </row>
    <row r="19">
      <c r="A19" s="5" t="n">
        <v>17</v>
      </c>
      <c r="B19" s="7" t="n">
        <v>650</v>
      </c>
      <c r="C19" s="7" t="n">
        <v>100</v>
      </c>
      <c r="D19" s="7" t="n">
        <v>400</v>
      </c>
      <c r="E19" s="7" t="n">
        <v>700</v>
      </c>
      <c r="F19" s="7" t="n">
        <v>0</v>
      </c>
      <c r="G19" s="7" t="n">
        <v>0</v>
      </c>
      <c r="H19" s="7" t="n">
        <v>0</v>
      </c>
      <c r="I19" s="5">
        <f>SUM(B19:H19)</f>
        <v/>
      </c>
      <c r="J19" s="5">
        <f>IF(A19=1,I19,J18+I19)</f>
        <v/>
      </c>
      <c r="K19" s="5">
        <f>LOOKUP(J19,'XP Curve'!$C$3:$C$102,'XP Curve'!$A$3:$A$102)</f>
        <v/>
      </c>
    </row>
    <row r="20">
      <c r="A20" s="6" t="n">
        <v>18</v>
      </c>
      <c r="B20" s="7" t="n">
        <v>650</v>
      </c>
      <c r="C20" s="7" t="n">
        <v>100</v>
      </c>
      <c r="D20" s="7" t="n">
        <v>400</v>
      </c>
      <c r="E20" s="7" t="n">
        <v>700</v>
      </c>
      <c r="F20" s="7" t="n">
        <v>0</v>
      </c>
      <c r="G20" s="7" t="n">
        <v>0</v>
      </c>
      <c r="H20" s="7" t="n">
        <v>0</v>
      </c>
      <c r="I20" s="6">
        <f>SUM(B20:H20)</f>
        <v/>
      </c>
      <c r="J20" s="6">
        <f>IF(A20=1,I20,J19+I20)</f>
        <v/>
      </c>
      <c r="K20" s="6">
        <f>LOOKUP(J20,'XP Curve'!$C$3:$C$102,'XP Curve'!$A$3:$A$102)</f>
        <v/>
      </c>
    </row>
    <row r="21">
      <c r="A21" s="5" t="n">
        <v>19</v>
      </c>
      <c r="B21" s="7" t="n">
        <v>650</v>
      </c>
      <c r="C21" s="7" t="n">
        <v>100</v>
      </c>
      <c r="D21" s="7" t="n">
        <v>400</v>
      </c>
      <c r="E21" s="7" t="n">
        <v>700</v>
      </c>
      <c r="F21" s="7" t="n">
        <v>0</v>
      </c>
      <c r="G21" s="7" t="n">
        <v>0</v>
      </c>
      <c r="H21" s="7" t="n">
        <v>0</v>
      </c>
      <c r="I21" s="5">
        <f>SUM(B21:H21)</f>
        <v/>
      </c>
      <c r="J21" s="5">
        <f>IF(A21=1,I21,J20+I21)</f>
        <v/>
      </c>
      <c r="K21" s="5">
        <f>LOOKUP(J21,'XP Curve'!$C$3:$C$102,'XP Curve'!$A$3:$A$102)</f>
        <v/>
      </c>
    </row>
    <row r="22">
      <c r="A22" s="6" t="n">
        <v>20</v>
      </c>
      <c r="B22" s="7" t="n">
        <v>650</v>
      </c>
      <c r="C22" s="7" t="n">
        <v>100</v>
      </c>
      <c r="D22" s="7" t="n">
        <v>400</v>
      </c>
      <c r="E22" s="7" t="n">
        <v>700</v>
      </c>
      <c r="F22" s="7" t="n">
        <v>0</v>
      </c>
      <c r="G22" s="7" t="n">
        <v>0</v>
      </c>
      <c r="H22" s="7" t="n">
        <v>0</v>
      </c>
      <c r="I22" s="6">
        <f>SUM(B22:H22)</f>
        <v/>
      </c>
      <c r="J22" s="6">
        <f>IF(A22=1,I22,J21+I22)</f>
        <v/>
      </c>
      <c r="K22" s="6">
        <f>LOOKUP(J22,'XP Curve'!$C$3:$C$102,'XP Curve'!$A$3:$A$102)</f>
        <v/>
      </c>
    </row>
    <row r="23">
      <c r="A23" s="5" t="n">
        <v>21</v>
      </c>
      <c r="B23" s="7" t="n">
        <v>650</v>
      </c>
      <c r="C23" s="7" t="n">
        <v>100</v>
      </c>
      <c r="D23" s="7" t="n">
        <v>400</v>
      </c>
      <c r="E23" s="7" t="n">
        <v>700</v>
      </c>
      <c r="F23" s="7" t="n">
        <v>0</v>
      </c>
      <c r="G23" s="7" t="n">
        <v>3500</v>
      </c>
      <c r="H23" s="7" t="n">
        <v>0</v>
      </c>
      <c r="I23" s="5">
        <f>SUM(B23:H23)</f>
        <v/>
      </c>
      <c r="J23" s="5">
        <f>IF(A23=1,I23,J22+I23)</f>
        <v/>
      </c>
      <c r="K23" s="5">
        <f>LOOKUP(J23,'XP Curve'!$C$3:$C$102,'XP Curve'!$A$3:$A$102)</f>
        <v/>
      </c>
    </row>
    <row r="24">
      <c r="A24" s="6" t="n">
        <v>22</v>
      </c>
      <c r="B24" s="7" t="n">
        <v>650</v>
      </c>
      <c r="C24" s="7" t="n">
        <v>100</v>
      </c>
      <c r="D24" s="7" t="n">
        <v>400</v>
      </c>
      <c r="E24" s="7" t="n">
        <v>700</v>
      </c>
      <c r="F24" s="7" t="n">
        <v>0</v>
      </c>
      <c r="G24" s="7" t="n">
        <v>0</v>
      </c>
      <c r="H24" s="7" t="n">
        <v>0</v>
      </c>
      <c r="I24" s="6">
        <f>SUM(B24:H24)</f>
        <v/>
      </c>
      <c r="J24" s="6">
        <f>IF(A24=1,I24,J23+I24)</f>
        <v/>
      </c>
      <c r="K24" s="6">
        <f>LOOKUP(J24,'XP Curve'!$C$3:$C$102,'XP Curve'!$A$3:$A$102)</f>
        <v/>
      </c>
    </row>
    <row r="25">
      <c r="A25" s="5" t="n">
        <v>23</v>
      </c>
      <c r="B25" s="7" t="n">
        <v>650</v>
      </c>
      <c r="C25" s="7" t="n">
        <v>100</v>
      </c>
      <c r="D25" s="7" t="n">
        <v>400</v>
      </c>
      <c r="E25" s="7" t="n">
        <v>700</v>
      </c>
      <c r="F25" s="7" t="n">
        <v>0</v>
      </c>
      <c r="G25" s="7" t="n">
        <v>0</v>
      </c>
      <c r="H25" s="7" t="n">
        <v>0</v>
      </c>
      <c r="I25" s="5">
        <f>SUM(B25:H25)</f>
        <v/>
      </c>
      <c r="J25" s="5">
        <f>IF(A25=1,I25,J24+I25)</f>
        <v/>
      </c>
      <c r="K25" s="5">
        <f>LOOKUP(J25,'XP Curve'!$C$3:$C$102,'XP Curve'!$A$3:$A$102)</f>
        <v/>
      </c>
    </row>
    <row r="26">
      <c r="A26" s="6" t="n">
        <v>24</v>
      </c>
      <c r="B26" s="7" t="n">
        <v>650</v>
      </c>
      <c r="C26" s="7" t="n">
        <v>100</v>
      </c>
      <c r="D26" s="7" t="n">
        <v>400</v>
      </c>
      <c r="E26" s="7" t="n">
        <v>700</v>
      </c>
      <c r="F26" s="7" t="n">
        <v>0</v>
      </c>
      <c r="G26" s="7" t="n">
        <v>0</v>
      </c>
      <c r="H26" s="7" t="n">
        <v>0</v>
      </c>
      <c r="I26" s="6">
        <f>SUM(B26:H26)</f>
        <v/>
      </c>
      <c r="J26" s="6">
        <f>IF(A26=1,I26,J25+I26)</f>
        <v/>
      </c>
      <c r="K26" s="6">
        <f>LOOKUP(J26,'XP Curve'!$C$3:$C$102,'XP Curve'!$A$3:$A$102)</f>
        <v/>
      </c>
    </row>
    <row r="27">
      <c r="A27" s="5" t="n">
        <v>25</v>
      </c>
      <c r="B27" s="7" t="n">
        <v>650</v>
      </c>
      <c r="C27" s="7" t="n">
        <v>100</v>
      </c>
      <c r="D27" s="7" t="n">
        <v>400</v>
      </c>
      <c r="E27" s="7" t="n">
        <v>700</v>
      </c>
      <c r="F27" s="7" t="n">
        <v>0</v>
      </c>
      <c r="G27" s="7" t="n">
        <v>0</v>
      </c>
      <c r="H27" s="7" t="n">
        <v>0</v>
      </c>
      <c r="I27" s="5">
        <f>SUM(B27:H27)</f>
        <v/>
      </c>
      <c r="J27" s="5">
        <f>IF(A27=1,I27,J26+I27)</f>
        <v/>
      </c>
      <c r="K27" s="5">
        <f>LOOKUP(J27,'XP Curve'!$C$3:$C$102,'XP Curve'!$A$3:$A$102)</f>
        <v/>
      </c>
    </row>
    <row r="28">
      <c r="A28" s="6" t="n">
        <v>26</v>
      </c>
      <c r="B28" s="7" t="n">
        <v>650</v>
      </c>
      <c r="C28" s="7" t="n">
        <v>100</v>
      </c>
      <c r="D28" s="7" t="n">
        <v>400</v>
      </c>
      <c r="E28" s="7" t="n">
        <v>700</v>
      </c>
      <c r="F28" s="7" t="n">
        <v>0</v>
      </c>
      <c r="G28" s="7" t="n">
        <v>0</v>
      </c>
      <c r="H28" s="7" t="n">
        <v>0</v>
      </c>
      <c r="I28" s="6">
        <f>SUM(B28:H28)</f>
        <v/>
      </c>
      <c r="J28" s="6">
        <f>IF(A28=1,I28,J27+I28)</f>
        <v/>
      </c>
      <c r="K28" s="6">
        <f>LOOKUP(J28,'XP Curve'!$C$3:$C$102,'XP Curve'!$A$3:$A$102)</f>
        <v/>
      </c>
    </row>
    <row r="29">
      <c r="A29" s="5" t="n">
        <v>27</v>
      </c>
      <c r="B29" s="7" t="n">
        <v>650</v>
      </c>
      <c r="C29" s="7" t="n">
        <v>100</v>
      </c>
      <c r="D29" s="7" t="n">
        <v>400</v>
      </c>
      <c r="E29" s="7" t="n">
        <v>700</v>
      </c>
      <c r="F29" s="7" t="n">
        <v>0</v>
      </c>
      <c r="G29" s="7" t="n">
        <v>0</v>
      </c>
      <c r="H29" s="7" t="n">
        <v>0</v>
      </c>
      <c r="I29" s="5">
        <f>SUM(B29:H29)</f>
        <v/>
      </c>
      <c r="J29" s="5">
        <f>IF(A29=1,I29,J28+I29)</f>
        <v/>
      </c>
      <c r="K29" s="5">
        <f>LOOKUP(J29,'XP Curve'!$C$3:$C$102,'XP Curve'!$A$3:$A$102)</f>
        <v/>
      </c>
    </row>
    <row r="30">
      <c r="A30" s="6" t="n">
        <v>28</v>
      </c>
      <c r="B30" s="7" t="n">
        <v>650</v>
      </c>
      <c r="C30" s="7" t="n">
        <v>100</v>
      </c>
      <c r="D30" s="7" t="n">
        <v>400</v>
      </c>
      <c r="E30" s="7" t="n">
        <v>700</v>
      </c>
      <c r="F30" s="7" t="n">
        <v>0</v>
      </c>
      <c r="G30" s="7" t="n">
        <v>3500</v>
      </c>
      <c r="H30" s="7" t="n">
        <v>0</v>
      </c>
      <c r="I30" s="6">
        <f>SUM(B30:H30)</f>
        <v/>
      </c>
      <c r="J30" s="6">
        <f>IF(A30=1,I30,J29+I30)</f>
        <v/>
      </c>
      <c r="K30" s="6">
        <f>LOOKUP(J30,'XP Curve'!$C$3:$C$102,'XP Curve'!$A$3:$A$102)</f>
        <v/>
      </c>
    </row>
    <row r="31">
      <c r="A31" s="5" t="n">
        <v>29</v>
      </c>
      <c r="B31" s="7" t="n">
        <v>650</v>
      </c>
      <c r="C31" s="7" t="n">
        <v>100</v>
      </c>
      <c r="D31" s="7" t="n">
        <v>400</v>
      </c>
      <c r="E31" s="7" t="n">
        <v>700</v>
      </c>
      <c r="F31" s="7" t="n">
        <v>0</v>
      </c>
      <c r="G31" s="7" t="n">
        <v>0</v>
      </c>
      <c r="H31" s="7" t="n">
        <v>0</v>
      </c>
      <c r="I31" s="5">
        <f>SUM(B31:H31)</f>
        <v/>
      </c>
      <c r="J31" s="5">
        <f>IF(A31=1,I31,J30+I31)</f>
        <v/>
      </c>
      <c r="K31" s="5">
        <f>LOOKUP(J31,'XP Curve'!$C$3:$C$102,'XP Curve'!$A$3:$A$102)</f>
        <v/>
      </c>
    </row>
    <row r="32">
      <c r="A32" s="6" t="n">
        <v>30</v>
      </c>
      <c r="B32" s="7" t="n">
        <v>650</v>
      </c>
      <c r="C32" s="7" t="n">
        <v>100</v>
      </c>
      <c r="D32" s="7" t="n">
        <v>400</v>
      </c>
      <c r="E32" s="7" t="n">
        <v>700</v>
      </c>
      <c r="F32" s="7" t="n">
        <v>0</v>
      </c>
      <c r="G32" s="7" t="n">
        <v>0</v>
      </c>
      <c r="H32" s="7" t="n">
        <v>0</v>
      </c>
      <c r="I32" s="6">
        <f>SUM(B32:H32)</f>
        <v/>
      </c>
      <c r="J32" s="6">
        <f>IF(A32=1,I32,J31+I32)</f>
        <v/>
      </c>
      <c r="K32" s="6">
        <f>LOOKUP(J32,'XP Curve'!$C$3:$C$102,'XP Curve'!$A$3:$A$102)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  <col width="11" customWidth="1" min="4" max="4"/>
    <col width="14" customWidth="1" min="5" max="5"/>
    <col width="14" customWidth="1" min="6" max="6"/>
    <col width="15" customWidth="1" min="7" max="7"/>
    <col width="34" customWidth="1" min="8" max="8"/>
    <col width="10" customWidth="1" min="9" max="9"/>
    <col width="15" customWidth="1" min="10" max="10"/>
  </cols>
  <sheetData>
    <row r="1">
      <c r="A1" s="3" t="inlineStr">
        <is>
          <t>Production and buffer model</t>
        </is>
      </c>
    </row>
    <row r="2">
      <c r="A2" s="4" t="inlineStr">
        <is>
          <t>Node</t>
        </is>
      </c>
      <c r="B2" s="4" t="inlineStr">
        <is>
          <t>Tier</t>
        </is>
      </c>
      <c r="C2" s="4" t="inlineStr">
        <is>
          <t>Workers</t>
        </is>
      </c>
      <c r="D2" s="4" t="inlineStr">
        <is>
          <t>Base/hour</t>
        </is>
      </c>
      <c r="E2" s="4" t="inlineStr">
        <is>
          <t>Rarity power</t>
        </is>
      </c>
      <c r="F2" s="4" t="inlineStr">
        <is>
          <t>Worker level</t>
        </is>
      </c>
      <c r="G2" s="4" t="inlineStr">
        <is>
          <t>Avg diligence</t>
        </is>
      </c>
      <c r="H2" s="4" t="inlineStr">
        <is>
          <t>Estimated/hour</t>
        </is>
      </c>
      <c r="I2" s="4" t="inlineStr">
        <is>
          <t>Buffer</t>
        </is>
      </c>
      <c r="J2" s="4" t="inlineStr">
        <is>
          <t>Hours to full</t>
        </is>
      </c>
    </row>
    <row r="3">
      <c r="A3" s="5" t="inlineStr">
        <is>
          <t>Mining</t>
        </is>
      </c>
      <c r="B3" s="5" t="n">
        <v>1</v>
      </c>
      <c r="C3" s="5" t="n">
        <v>1</v>
      </c>
      <c r="D3" s="7" t="n">
        <v>40</v>
      </c>
      <c r="E3" s="7" t="n">
        <v>1</v>
      </c>
      <c r="F3" s="7" t="n">
        <v>10</v>
      </c>
      <c r="G3" s="7" t="n">
        <v>10</v>
      </c>
      <c r="H3" s="5">
        <f>D3*C3*E3*(1+F3*0.02)*(1+G3/100)</f>
        <v/>
      </c>
      <c r="I3" s="7">
        <f>256*B3</f>
        <v/>
      </c>
      <c r="J3" s="5">
        <f>I3/H3</f>
        <v/>
      </c>
    </row>
    <row r="4">
      <c r="A4" s="6" t="inlineStr">
        <is>
          <t>Mining</t>
        </is>
      </c>
      <c r="B4" s="6" t="n">
        <v>2</v>
      </c>
      <c r="C4" s="6" t="n">
        <v>2</v>
      </c>
      <c r="D4" s="7" t="n">
        <v>40</v>
      </c>
      <c r="E4" s="7" t="n">
        <v>1</v>
      </c>
      <c r="F4" s="7" t="n">
        <v>10</v>
      </c>
      <c r="G4" s="7" t="n">
        <v>10</v>
      </c>
      <c r="H4" s="6">
        <f>D4*C4*E4*(1+F4*0.02)*(1+G4/100)</f>
        <v/>
      </c>
      <c r="I4" s="7">
        <f>256*B4</f>
        <v/>
      </c>
      <c r="J4" s="6">
        <f>I4/H4</f>
        <v/>
      </c>
    </row>
    <row r="5">
      <c r="A5" s="5" t="inlineStr">
        <is>
          <t>Mining</t>
        </is>
      </c>
      <c r="B5" s="5" t="n">
        <v>3</v>
      </c>
      <c r="C5" s="5" t="n">
        <v>3</v>
      </c>
      <c r="D5" s="7" t="n">
        <v>40</v>
      </c>
      <c r="E5" s="7" t="n">
        <v>1</v>
      </c>
      <c r="F5" s="7" t="n">
        <v>10</v>
      </c>
      <c r="G5" s="7" t="n">
        <v>10</v>
      </c>
      <c r="H5" s="5">
        <f>D5*C5*E5*(1+F5*0.02)*(1+G5/100)</f>
        <v/>
      </c>
      <c r="I5" s="7">
        <f>256*B5</f>
        <v/>
      </c>
      <c r="J5" s="5">
        <f>I5/H5</f>
        <v/>
      </c>
    </row>
    <row r="6">
      <c r="A6" s="6" t="inlineStr">
        <is>
          <t>Mining</t>
        </is>
      </c>
      <c r="B6" s="6" t="n">
        <v>4</v>
      </c>
      <c r="C6" s="6" t="n">
        <v>4</v>
      </c>
      <c r="D6" s="7" t="n">
        <v>40</v>
      </c>
      <c r="E6" s="7" t="n">
        <v>1</v>
      </c>
      <c r="F6" s="7" t="n">
        <v>10</v>
      </c>
      <c r="G6" s="7" t="n">
        <v>10</v>
      </c>
      <c r="H6" s="6">
        <f>D6*C6*E6*(1+F6*0.02)*(1+G6/100)</f>
        <v/>
      </c>
      <c r="I6" s="7">
        <f>256*B6</f>
        <v/>
      </c>
      <c r="J6" s="6">
        <f>I6/H6</f>
        <v/>
      </c>
    </row>
    <row r="7">
      <c r="A7" s="5" t="inlineStr">
        <is>
          <t>Mining</t>
        </is>
      </c>
      <c r="B7" s="5" t="n">
        <v>5</v>
      </c>
      <c r="C7" s="5" t="n">
        <v>5</v>
      </c>
      <c r="D7" s="7" t="n">
        <v>40</v>
      </c>
      <c r="E7" s="7" t="n">
        <v>1</v>
      </c>
      <c r="F7" s="7" t="n">
        <v>10</v>
      </c>
      <c r="G7" s="7" t="n">
        <v>10</v>
      </c>
      <c r="H7" s="5">
        <f>D7*C7*E7*(1+F7*0.02)*(1+G7/100)</f>
        <v/>
      </c>
      <c r="I7" s="7">
        <f>256*B7</f>
        <v/>
      </c>
      <c r="J7" s="5">
        <f>I7/H7</f>
        <v/>
      </c>
    </row>
    <row r="8">
      <c r="A8" s="6" t="inlineStr">
        <is>
          <t>Farming</t>
        </is>
      </c>
      <c r="B8" s="6" t="n">
        <v>1</v>
      </c>
      <c r="C8" s="6" t="n">
        <v>1</v>
      </c>
      <c r="D8" s="7" t="n">
        <v>48</v>
      </c>
      <c r="E8" s="7" t="n">
        <v>1</v>
      </c>
      <c r="F8" s="7" t="n">
        <v>10</v>
      </c>
      <c r="G8" s="7" t="n">
        <v>10</v>
      </c>
      <c r="H8" s="6">
        <f>D8*C8*E8*(1+F8*0.02)*(1+G8/100)</f>
        <v/>
      </c>
      <c r="I8" s="7">
        <f>256*B8</f>
        <v/>
      </c>
      <c r="J8" s="6">
        <f>I8/H8</f>
        <v/>
      </c>
    </row>
    <row r="9">
      <c r="A9" s="5" t="inlineStr">
        <is>
          <t>Farming</t>
        </is>
      </c>
      <c r="B9" s="5" t="n">
        <v>2</v>
      </c>
      <c r="C9" s="5" t="n">
        <v>2</v>
      </c>
      <c r="D9" s="7" t="n">
        <v>48</v>
      </c>
      <c r="E9" s="7" t="n">
        <v>1</v>
      </c>
      <c r="F9" s="7" t="n">
        <v>10</v>
      </c>
      <c r="G9" s="7" t="n">
        <v>10</v>
      </c>
      <c r="H9" s="5">
        <f>D9*C9*E9*(1+F9*0.02)*(1+G9/100)</f>
        <v/>
      </c>
      <c r="I9" s="7">
        <f>256*B9</f>
        <v/>
      </c>
      <c r="J9" s="5">
        <f>I9/H9</f>
        <v/>
      </c>
    </row>
    <row r="10">
      <c r="A10" s="6" t="inlineStr">
        <is>
          <t>Farming</t>
        </is>
      </c>
      <c r="B10" s="6" t="n">
        <v>3</v>
      </c>
      <c r="C10" s="6" t="n">
        <v>3</v>
      </c>
      <c r="D10" s="7" t="n">
        <v>48</v>
      </c>
      <c r="E10" s="7" t="n">
        <v>1</v>
      </c>
      <c r="F10" s="7" t="n">
        <v>10</v>
      </c>
      <c r="G10" s="7" t="n">
        <v>10</v>
      </c>
      <c r="H10" s="6">
        <f>D10*C10*E10*(1+F10*0.02)*(1+G10/100)</f>
        <v/>
      </c>
      <c r="I10" s="7">
        <f>256*B10</f>
        <v/>
      </c>
      <c r="J10" s="6">
        <f>I10/H10</f>
        <v/>
      </c>
    </row>
    <row r="11">
      <c r="A11" s="5" t="inlineStr">
        <is>
          <t>Farming</t>
        </is>
      </c>
      <c r="B11" s="5" t="n">
        <v>4</v>
      </c>
      <c r="C11" s="5" t="n">
        <v>4</v>
      </c>
      <c r="D11" s="7" t="n">
        <v>48</v>
      </c>
      <c r="E11" s="7" t="n">
        <v>1</v>
      </c>
      <c r="F11" s="7" t="n">
        <v>10</v>
      </c>
      <c r="G11" s="7" t="n">
        <v>10</v>
      </c>
      <c r="H11" s="5">
        <f>D11*C11*E11*(1+F11*0.02)*(1+G11/100)</f>
        <v/>
      </c>
      <c r="I11" s="7">
        <f>256*B11</f>
        <v/>
      </c>
      <c r="J11" s="5">
        <f>I11/H11</f>
        <v/>
      </c>
    </row>
    <row r="12">
      <c r="A12" s="6" t="inlineStr">
        <is>
          <t>Farming</t>
        </is>
      </c>
      <c r="B12" s="6" t="n">
        <v>5</v>
      </c>
      <c r="C12" s="6" t="n">
        <v>5</v>
      </c>
      <c r="D12" s="7" t="n">
        <v>48</v>
      </c>
      <c r="E12" s="7" t="n">
        <v>1</v>
      </c>
      <c r="F12" s="7" t="n">
        <v>10</v>
      </c>
      <c r="G12" s="7" t="n">
        <v>10</v>
      </c>
      <c r="H12" s="6">
        <f>D12*C12*E12*(1+F12*0.02)*(1+G12/100)</f>
        <v/>
      </c>
      <c r="I12" s="7">
        <f>256*B12</f>
        <v/>
      </c>
      <c r="J12" s="6">
        <f>I12/H12</f>
        <v/>
      </c>
    </row>
    <row r="13">
      <c r="A13" s="5" t="inlineStr">
        <is>
          <t>Woodcutting</t>
        </is>
      </c>
      <c r="B13" s="5" t="n">
        <v>1</v>
      </c>
      <c r="C13" s="5" t="n">
        <v>1</v>
      </c>
      <c r="D13" s="7" t="n">
        <v>44</v>
      </c>
      <c r="E13" s="7" t="n">
        <v>1</v>
      </c>
      <c r="F13" s="7" t="n">
        <v>10</v>
      </c>
      <c r="G13" s="7" t="n">
        <v>10</v>
      </c>
      <c r="H13" s="5">
        <f>D13*C13*E13*(1+F13*0.02)*(1+G13/100)</f>
        <v/>
      </c>
      <c r="I13" s="7">
        <f>256*B13</f>
        <v/>
      </c>
      <c r="J13" s="5">
        <f>I13/H13</f>
        <v/>
      </c>
    </row>
    <row r="14">
      <c r="A14" s="6" t="inlineStr">
        <is>
          <t>Woodcutting</t>
        </is>
      </c>
      <c r="B14" s="6" t="n">
        <v>2</v>
      </c>
      <c r="C14" s="6" t="n">
        <v>2</v>
      </c>
      <c r="D14" s="7" t="n">
        <v>44</v>
      </c>
      <c r="E14" s="7" t="n">
        <v>1</v>
      </c>
      <c r="F14" s="7" t="n">
        <v>10</v>
      </c>
      <c r="G14" s="7" t="n">
        <v>10</v>
      </c>
      <c r="H14" s="6">
        <f>D14*C14*E14*(1+F14*0.02)*(1+G14/100)</f>
        <v/>
      </c>
      <c r="I14" s="7">
        <f>256*B14</f>
        <v/>
      </c>
      <c r="J14" s="6">
        <f>I14/H14</f>
        <v/>
      </c>
    </row>
    <row r="15">
      <c r="A15" s="5" t="inlineStr">
        <is>
          <t>Woodcutting</t>
        </is>
      </c>
      <c r="B15" s="5" t="n">
        <v>3</v>
      </c>
      <c r="C15" s="5" t="n">
        <v>3</v>
      </c>
      <c r="D15" s="7" t="n">
        <v>44</v>
      </c>
      <c r="E15" s="7" t="n">
        <v>1</v>
      </c>
      <c r="F15" s="7" t="n">
        <v>10</v>
      </c>
      <c r="G15" s="7" t="n">
        <v>10</v>
      </c>
      <c r="H15" s="5">
        <f>D15*C15*E15*(1+F15*0.02)*(1+G15/100)</f>
        <v/>
      </c>
      <c r="I15" s="7">
        <f>256*B15</f>
        <v/>
      </c>
      <c r="J15" s="5">
        <f>I15/H15</f>
        <v/>
      </c>
    </row>
    <row r="16">
      <c r="A16" s="6" t="inlineStr">
        <is>
          <t>Woodcutting</t>
        </is>
      </c>
      <c r="B16" s="6" t="n">
        <v>4</v>
      </c>
      <c r="C16" s="6" t="n">
        <v>4</v>
      </c>
      <c r="D16" s="7" t="n">
        <v>44</v>
      </c>
      <c r="E16" s="7" t="n">
        <v>1</v>
      </c>
      <c r="F16" s="7" t="n">
        <v>10</v>
      </c>
      <c r="G16" s="7" t="n">
        <v>10</v>
      </c>
      <c r="H16" s="6">
        <f>D16*C16*E16*(1+F16*0.02)*(1+G16/100)</f>
        <v/>
      </c>
      <c r="I16" s="7">
        <f>256*B16</f>
        <v/>
      </c>
      <c r="J16" s="6">
        <f>I16/H16</f>
        <v/>
      </c>
    </row>
    <row r="17">
      <c r="A17" s="5" t="inlineStr">
        <is>
          <t>Woodcutting</t>
        </is>
      </c>
      <c r="B17" s="5" t="n">
        <v>5</v>
      </c>
      <c r="C17" s="5" t="n">
        <v>5</v>
      </c>
      <c r="D17" s="7" t="n">
        <v>44</v>
      </c>
      <c r="E17" s="7" t="n">
        <v>1</v>
      </c>
      <c r="F17" s="7" t="n">
        <v>10</v>
      </c>
      <c r="G17" s="7" t="n">
        <v>10</v>
      </c>
      <c r="H17" s="5">
        <f>D17*C17*E17*(1+F17*0.02)*(1+G17/100)</f>
        <v/>
      </c>
      <c r="I17" s="7">
        <f>256*B17</f>
        <v/>
      </c>
      <c r="J17" s="5">
        <f>I17/H17</f>
        <v/>
      </c>
    </row>
    <row r="18">
      <c r="A18" s="6" t="inlineStr">
        <is>
          <t>Livestock</t>
        </is>
      </c>
      <c r="B18" s="6" t="n">
        <v>1</v>
      </c>
      <c r="C18" s="6" t="n">
        <v>1</v>
      </c>
      <c r="D18" s="7" t="n">
        <v>36</v>
      </c>
      <c r="E18" s="7" t="n">
        <v>1</v>
      </c>
      <c r="F18" s="7" t="n">
        <v>10</v>
      </c>
      <c r="G18" s="7" t="n">
        <v>10</v>
      </c>
      <c r="H18" s="6">
        <f>D18*C18*E18*(1+F18*0.02)*(1+G18/100)</f>
        <v/>
      </c>
      <c r="I18" s="7">
        <f>256*B18</f>
        <v/>
      </c>
      <c r="J18" s="6">
        <f>I18/H18</f>
        <v/>
      </c>
    </row>
    <row r="19">
      <c r="A19" s="5" t="inlineStr">
        <is>
          <t>Livestock</t>
        </is>
      </c>
      <c r="B19" s="5" t="n">
        <v>2</v>
      </c>
      <c r="C19" s="5" t="n">
        <v>2</v>
      </c>
      <c r="D19" s="7" t="n">
        <v>36</v>
      </c>
      <c r="E19" s="7" t="n">
        <v>1</v>
      </c>
      <c r="F19" s="7" t="n">
        <v>10</v>
      </c>
      <c r="G19" s="7" t="n">
        <v>10</v>
      </c>
      <c r="H19" s="5">
        <f>D19*C19*E19*(1+F19*0.02)*(1+G19/100)</f>
        <v/>
      </c>
      <c r="I19" s="7">
        <f>256*B19</f>
        <v/>
      </c>
      <c r="J19" s="5">
        <f>I19/H19</f>
        <v/>
      </c>
    </row>
    <row r="20">
      <c r="A20" s="6" t="inlineStr">
        <is>
          <t>Livestock</t>
        </is>
      </c>
      <c r="B20" s="6" t="n">
        <v>3</v>
      </c>
      <c r="C20" s="6" t="n">
        <v>3</v>
      </c>
      <c r="D20" s="7" t="n">
        <v>36</v>
      </c>
      <c r="E20" s="7" t="n">
        <v>1</v>
      </c>
      <c r="F20" s="7" t="n">
        <v>10</v>
      </c>
      <c r="G20" s="7" t="n">
        <v>10</v>
      </c>
      <c r="H20" s="6">
        <f>D20*C20*E20*(1+F20*0.02)*(1+G20/100)</f>
        <v/>
      </c>
      <c r="I20" s="7">
        <f>256*B20</f>
        <v/>
      </c>
      <c r="J20" s="6">
        <f>I20/H20</f>
        <v/>
      </c>
    </row>
    <row r="21">
      <c r="A21" s="5" t="inlineStr">
        <is>
          <t>Livestock</t>
        </is>
      </c>
      <c r="B21" s="5" t="n">
        <v>4</v>
      </c>
      <c r="C21" s="5" t="n">
        <v>4</v>
      </c>
      <c r="D21" s="7" t="n">
        <v>36</v>
      </c>
      <c r="E21" s="7" t="n">
        <v>1</v>
      </c>
      <c r="F21" s="7" t="n">
        <v>10</v>
      </c>
      <c r="G21" s="7" t="n">
        <v>10</v>
      </c>
      <c r="H21" s="5">
        <f>D21*C21*E21*(1+F21*0.02)*(1+G21/100)</f>
        <v/>
      </c>
      <c r="I21" s="7">
        <f>256*B21</f>
        <v/>
      </c>
      <c r="J21" s="5">
        <f>I21/H21</f>
        <v/>
      </c>
    </row>
    <row r="22">
      <c r="A22" s="6" t="inlineStr">
        <is>
          <t>Livestock</t>
        </is>
      </c>
      <c r="B22" s="6" t="n">
        <v>5</v>
      </c>
      <c r="C22" s="6" t="n">
        <v>5</v>
      </c>
      <c r="D22" s="7" t="n">
        <v>36</v>
      </c>
      <c r="E22" s="7" t="n">
        <v>1</v>
      </c>
      <c r="F22" s="7" t="n">
        <v>10</v>
      </c>
      <c r="G22" s="7" t="n">
        <v>10</v>
      </c>
      <c r="H22" s="6">
        <f>D22*C22*E22*(1+F22*0.02)*(1+G22/100)</f>
        <v/>
      </c>
      <c r="I22" s="7">
        <f>256*B22</f>
        <v/>
      </c>
      <c r="J22" s="6">
        <f>I22/H22</f>
        <v/>
      </c>
    </row>
    <row r="23">
      <c r="A23" s="5" t="inlineStr">
        <is>
          <t>Hunter</t>
        </is>
      </c>
      <c r="B23" s="5" t="n">
        <v>1</v>
      </c>
      <c r="C23" s="5" t="n">
        <v>1</v>
      </c>
      <c r="D23" s="7" t="n">
        <v>30</v>
      </c>
      <c r="E23" s="7" t="n">
        <v>1</v>
      </c>
      <c r="F23" s="7" t="n">
        <v>10</v>
      </c>
      <c r="G23" s="7" t="n">
        <v>10</v>
      </c>
      <c r="H23" s="5">
        <f>D23*C23*E23*(1+F23*0.02)*(1+G23/100)</f>
        <v/>
      </c>
      <c r="I23" s="7">
        <f>256*B23</f>
        <v/>
      </c>
      <c r="J23" s="5">
        <f>I23/H23</f>
        <v/>
      </c>
    </row>
    <row r="24">
      <c r="A24" s="6" t="inlineStr">
        <is>
          <t>Hunter</t>
        </is>
      </c>
      <c r="B24" s="6" t="n">
        <v>2</v>
      </c>
      <c r="C24" s="6" t="n">
        <v>2</v>
      </c>
      <c r="D24" s="7" t="n">
        <v>30</v>
      </c>
      <c r="E24" s="7" t="n">
        <v>1</v>
      </c>
      <c r="F24" s="7" t="n">
        <v>10</v>
      </c>
      <c r="G24" s="7" t="n">
        <v>10</v>
      </c>
      <c r="H24" s="6">
        <f>D24*C24*E24*(1+F24*0.02)*(1+G24/100)</f>
        <v/>
      </c>
      <c r="I24" s="7">
        <f>256*B24</f>
        <v/>
      </c>
      <c r="J24" s="6">
        <f>I24/H24</f>
        <v/>
      </c>
    </row>
    <row r="25">
      <c r="A25" s="5" t="inlineStr">
        <is>
          <t>Hunter</t>
        </is>
      </c>
      <c r="B25" s="5" t="n">
        <v>3</v>
      </c>
      <c r="C25" s="5" t="n">
        <v>3</v>
      </c>
      <c r="D25" s="7" t="n">
        <v>30</v>
      </c>
      <c r="E25" s="7" t="n">
        <v>1</v>
      </c>
      <c r="F25" s="7" t="n">
        <v>10</v>
      </c>
      <c r="G25" s="7" t="n">
        <v>10</v>
      </c>
      <c r="H25" s="5">
        <f>D25*C25*E25*(1+F25*0.02)*(1+G25/100)</f>
        <v/>
      </c>
      <c r="I25" s="7">
        <f>256*B25</f>
        <v/>
      </c>
      <c r="J25" s="5">
        <f>I25/H25</f>
        <v/>
      </c>
    </row>
    <row r="26">
      <c r="A26" s="6" t="inlineStr">
        <is>
          <t>Hunter</t>
        </is>
      </c>
      <c r="B26" s="6" t="n">
        <v>4</v>
      </c>
      <c r="C26" s="6" t="n">
        <v>4</v>
      </c>
      <c r="D26" s="7" t="n">
        <v>30</v>
      </c>
      <c r="E26" s="7" t="n">
        <v>1</v>
      </c>
      <c r="F26" s="7" t="n">
        <v>10</v>
      </c>
      <c r="G26" s="7" t="n">
        <v>10</v>
      </c>
      <c r="H26" s="6">
        <f>D26*C26*E26*(1+F26*0.02)*(1+G26/100)</f>
        <v/>
      </c>
      <c r="I26" s="7">
        <f>256*B26</f>
        <v/>
      </c>
      <c r="J26" s="6">
        <f>I26/H26</f>
        <v/>
      </c>
    </row>
    <row r="27">
      <c r="A27" s="5" t="inlineStr">
        <is>
          <t>Hunter</t>
        </is>
      </c>
      <c r="B27" s="5" t="n">
        <v>5</v>
      </c>
      <c r="C27" s="5" t="n">
        <v>5</v>
      </c>
      <c r="D27" s="7" t="n">
        <v>30</v>
      </c>
      <c r="E27" s="7" t="n">
        <v>1</v>
      </c>
      <c r="F27" s="7" t="n">
        <v>10</v>
      </c>
      <c r="G27" s="7" t="n">
        <v>10</v>
      </c>
      <c r="H27" s="5">
        <f>D27*C27*E27*(1+F27*0.02)*(1+G27/100)</f>
        <v/>
      </c>
      <c r="I27" s="7">
        <f>256*B27</f>
        <v/>
      </c>
      <c r="J27" s="5">
        <f>I27/H27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5" customWidth="1" min="3" max="3"/>
    <col width="27" customWidth="1" min="4" max="4"/>
  </cols>
  <sheetData>
    <row r="1">
      <c r="A1" s="3" t="inlineStr">
        <is>
          <t>Month-one Coin economy</t>
        </is>
      </c>
    </row>
    <row r="2">
      <c r="A2" s="4" t="inlineStr">
        <is>
          <t>Category</t>
        </is>
      </c>
      <c r="B2" s="4" t="inlineStr">
        <is>
          <t>Source/Sink</t>
        </is>
      </c>
      <c r="C2" s="4" t="inlineStr">
        <is>
          <t>Monthly Coins</t>
        </is>
      </c>
      <c r="D2" s="4" t="inlineStr">
        <is>
          <t>Assumption</t>
        </is>
      </c>
    </row>
    <row r="3">
      <c r="A3" s="5" t="inlineStr">
        <is>
          <t>Income</t>
        </is>
      </c>
      <c r="B3" s="5" t="inlineStr">
        <is>
          <t>Online payout</t>
        </is>
      </c>
      <c r="C3" s="5" t="n">
        <v>36000</v>
      </c>
      <c r="D3" s="5" t="inlineStr">
        <is>
          <t>60 hours × 600/hour</t>
        </is>
      </c>
    </row>
    <row r="4">
      <c r="A4" s="6" t="inlineStr">
        <is>
          <t>Income</t>
        </is>
      </c>
      <c r="B4" s="6" t="inlineStr">
        <is>
          <t>Daily behavior commissions</t>
        </is>
      </c>
      <c r="C4" s="6" t="n">
        <v>18000</v>
      </c>
      <c r="D4" s="6" t="inlineStr">
        <is>
          <t>600/day</t>
        </is>
      </c>
    </row>
    <row r="5">
      <c r="A5" s="5" t="inlineStr">
        <is>
          <t>Income</t>
        </is>
      </c>
      <c r="B5" s="5" t="inlineStr">
        <is>
          <t>Weekly chapters</t>
        </is>
      </c>
      <c r="C5" s="5" t="n">
        <v>8000</v>
      </c>
      <c r="D5" s="5" t="inlineStr">
        <is>
          <t>2,000/week</t>
        </is>
      </c>
    </row>
    <row r="6">
      <c r="A6" s="6" t="inlineStr">
        <is>
          <t>Income</t>
        </is>
      </c>
      <c r="B6" s="6" t="inlineStr">
        <is>
          <t>Achievements</t>
        </is>
      </c>
      <c r="C6" s="6" t="n">
        <v>10000</v>
      </c>
      <c r="D6" s="6" t="inlineStr">
        <is>
          <t>Journey/Mastery budget</t>
        </is>
      </c>
    </row>
    <row r="7">
      <c r="A7" s="5" t="inlineStr">
        <is>
          <t>Income</t>
        </is>
      </c>
      <c r="B7" s="5" t="inlineStr">
        <is>
          <t>Expected Global Expedition</t>
        </is>
      </c>
      <c r="C7" s="5" t="n">
        <v>2000</v>
      </c>
      <c r="D7" s="5" t="inlineStr">
        <is>
          <t>Participation expectation</t>
        </is>
      </c>
    </row>
    <row r="8">
      <c r="A8" s="6" t="inlineStr">
        <is>
          <t>Sink</t>
        </is>
      </c>
      <c r="B8" s="6" t="inlineStr">
        <is>
          <t>Production claims</t>
        </is>
      </c>
      <c r="C8" s="6" t="n">
        <v>-4000</v>
      </c>
      <c r="D8" s="6" t="inlineStr">
        <is>
          <t>Four after free starter</t>
        </is>
      </c>
    </row>
    <row r="9">
      <c r="A9" s="5" t="inlineStr">
        <is>
          <t>Sink</t>
        </is>
      </c>
      <c r="B9" s="5" t="inlineStr">
        <is>
          <t>Primary T1→T5</t>
        </is>
      </c>
      <c r="C9" s="5" t="n">
        <v>-11872</v>
      </c>
      <c r="D9" s="5" t="inlineStr">
        <is>
          <t>Exact current formula</t>
        </is>
      </c>
    </row>
    <row r="10">
      <c r="A10" s="6" t="inlineStr">
        <is>
          <t>Sink</t>
        </is>
      </c>
      <c r="B10" s="6" t="inlineStr">
        <is>
          <t>Three secondary T2</t>
        </is>
      </c>
      <c r="C10" s="6" t="n">
        <v>-3000</v>
      </c>
      <c r="D10" s="6" t="inlineStr">
        <is>
          <t>1,000 each</t>
        </is>
      </c>
    </row>
    <row r="11">
      <c r="A11" s="5" t="inlineStr">
        <is>
          <t>Sink</t>
        </is>
      </c>
      <c r="B11" s="5" t="inlineStr">
        <is>
          <t>20 hires</t>
        </is>
      </c>
      <c r="C11" s="5" t="n">
        <v>-5000</v>
      </c>
      <c r="D11" s="5" t="inlineStr">
        <is>
          <t>250 each</t>
        </is>
      </c>
    </row>
    <row r="12">
      <c r="A12" s="6" t="inlineStr">
        <is>
          <t>Sink</t>
        </is>
      </c>
      <c r="B12" s="6" t="inlineStr">
        <is>
          <t>Fuse catalysts/respec</t>
        </is>
      </c>
      <c r="C12" s="6" t="n">
        <v>-6000</v>
      </c>
      <c r="D12" s="6" t="inlineStr">
        <is>
          <t>Expected</t>
        </is>
      </c>
    </row>
    <row r="13">
      <c r="A13" s="5" t="inlineStr">
        <is>
          <t>Sink</t>
        </is>
      </c>
      <c r="B13" s="5" t="inlineStr">
        <is>
          <t>Warehouse expansion</t>
        </is>
      </c>
      <c r="C13" s="5" t="n">
        <v>-5000</v>
      </c>
      <c r="D13" s="5" t="inlineStr">
        <is>
          <t>One purchase</t>
        </is>
      </c>
    </row>
    <row r="14">
      <c r="A14" s="6" t="inlineStr">
        <is>
          <t>Sink</t>
        </is>
      </c>
      <c r="B14" s="6" t="inlineStr">
        <is>
          <t>Bag/utility/cosmetics</t>
        </is>
      </c>
      <c r="C14" s="6" t="n">
        <v>-8000</v>
      </c>
      <c r="D14" s="6" t="inlineStr">
        <is>
          <t>Player choice</t>
        </is>
      </c>
    </row>
    <row r="15">
      <c r="A15" s="8" t="inlineStr">
        <is>
          <t>Net</t>
        </is>
      </c>
      <c r="B15" s="8" t="inlineStr">
        <is>
          <t>Month-one remainder</t>
        </is>
      </c>
      <c r="C15" s="8">
        <f>SUM(C3:C14)</f>
        <v/>
      </c>
      <c r="D15" s="5" t="inlineStr">
        <is>
          <t>Choice budget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7" customWidth="1" min="3" max="3"/>
  </cols>
  <sheetData>
    <row r="1">
      <c r="A1" s="3" t="inlineStr">
        <is>
          <t>Hybrid Pay rules</t>
        </is>
      </c>
    </row>
    <row r="2">
      <c r="A2" s="4" t="inlineStr">
        <is>
          <t>Rule</t>
        </is>
      </c>
      <c r="B2" s="4" t="inlineStr">
        <is>
          <t>Value</t>
        </is>
      </c>
      <c r="C2" s="4" t="inlineStr">
        <is>
          <t>Purpose</t>
        </is>
      </c>
    </row>
    <row r="3">
      <c r="A3" s="5" t="inlineStr">
        <is>
          <t>Purchase price</t>
        </is>
      </c>
      <c r="B3" s="5" t="inlineStr">
        <is>
          <t>1 Credit = 1 THB</t>
        </is>
      </c>
      <c r="C3" s="5" t="inlineStr">
        <is>
          <t>External checkout price, not redemption value</t>
        </is>
      </c>
    </row>
    <row r="4">
      <c r="A4" s="6" t="inlineStr">
        <is>
          <t>Coin offset</t>
        </is>
      </c>
      <c r="B4" s="6" t="inlineStr">
        <is>
          <t>20 Coins/Credit</t>
        </is>
      </c>
      <c r="C4" s="6" t="inlineStr">
        <is>
          <t>Checkout only</t>
        </is>
      </c>
    </row>
    <row r="5">
      <c r="A5" s="5" t="inlineStr">
        <is>
          <t>Per-purchase cap</t>
        </is>
      </c>
      <c r="B5" s="5" t="inlineStr">
        <is>
          <t>15%</t>
        </is>
      </c>
      <c r="C5" s="5" t="inlineStr">
        <is>
          <t>At least 85% earned Coins</t>
        </is>
      </c>
    </row>
    <row r="6">
      <c r="A6" s="6" t="inlineStr">
        <is>
          <t>Season cap</t>
        </is>
      </c>
      <c r="B6" s="6" t="inlineStr">
        <is>
          <t>30,000 Coin offset</t>
        </is>
      </c>
      <c r="C6" s="6" t="inlineStr">
        <is>
          <t>Also ≤25% of Coins earned</t>
        </is>
      </c>
    </row>
    <row r="7">
      <c r="A7" s="5" t="inlineStr">
        <is>
          <t>Never allowed</t>
        </is>
      </c>
      <c r="B7" s="5" t="inlineStr">
        <is>
          <t>EXP, RNG, tradable items, MMORPG materials</t>
        </is>
      </c>
      <c r="C7" s="5" t="inlineStr">
        <is>
          <t>Fairness</t>
        </is>
      </c>
    </row>
    <row r="8">
      <c r="A8" s="6" t="inlineStr">
        <is>
          <t>Transfer/cashout</t>
        </is>
      </c>
      <c r="B8" s="6" t="inlineStr">
        <is>
          <t>Never</t>
        </is>
      </c>
      <c r="C8" s="6" t="inlineStr">
        <is>
          <t>Server entitlement only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1" customWidth="1" min="13" max="13"/>
    <col width="12" customWidth="1" min="14" max="14"/>
    <col width="16" customWidth="1" min="15" max="15"/>
  </cols>
  <sheetData>
    <row r="1">
      <c r="A1" s="3" t="inlineStr">
        <is>
          <t>Mining Drops</t>
        </is>
      </c>
    </row>
    <row r="2">
      <c r="A2" s="4" t="inlineStr">
        <is>
          <t>Material</t>
        </is>
      </c>
      <c r="B2" s="4" t="inlineStr">
        <is>
          <t>Unlock bracket</t>
        </is>
      </c>
      <c r="C2" s="4" t="inlineStr">
        <is>
          <t>B1 weight</t>
        </is>
      </c>
      <c r="D2" s="4" t="inlineStr">
        <is>
          <t>B2 weight</t>
        </is>
      </c>
      <c r="E2" s="4" t="inlineStr">
        <is>
          <t>B3 weight</t>
        </is>
      </c>
      <c r="F2" s="4" t="inlineStr">
        <is>
          <t>B4 weight</t>
        </is>
      </c>
      <c r="G2" s="4" t="inlineStr">
        <is>
          <t>B5 weight</t>
        </is>
      </c>
      <c r="H2" s="4" t="inlineStr">
        <is>
          <t>B6 weight</t>
        </is>
      </c>
      <c r="I2" s="4" t="inlineStr">
        <is>
          <t>B7 weight</t>
        </is>
      </c>
      <c r="J2" s="4" t="inlineStr">
        <is>
          <t>B8 weight</t>
        </is>
      </c>
      <c r="K2" s="4" t="inlineStr">
        <is>
          <t>B9 weight</t>
        </is>
      </c>
      <c r="L2" s="4" t="inlineStr">
        <is>
          <t>B10 weight</t>
        </is>
      </c>
      <c r="M2" s="4" t="inlineStr">
        <is>
          <t>Daily cap</t>
        </is>
      </c>
      <c r="N2" s="4" t="inlineStr">
        <is>
          <t>Weekly cap</t>
        </is>
      </c>
      <c r="O2" s="4" t="inlineStr">
        <is>
          <t>Source</t>
        </is>
      </c>
    </row>
    <row r="3">
      <c r="A3" s="5" t="inlineStr">
        <is>
          <t>COBBLESTONE</t>
        </is>
      </c>
      <c r="B3" s="7" t="n">
        <v>1</v>
      </c>
      <c r="C3" s="7" t="n">
        <v>60</v>
      </c>
      <c r="D3" s="7" t="n">
        <v>45</v>
      </c>
      <c r="E3" s="7" t="n">
        <v>35</v>
      </c>
      <c r="F3" s="7" t="n">
        <v>28</v>
      </c>
      <c r="G3" s="7" t="n">
        <v>22</v>
      </c>
      <c r="H3" s="7" t="n">
        <v>18</v>
      </c>
      <c r="I3" s="7" t="n">
        <v>15</v>
      </c>
      <c r="J3" s="7" t="n">
        <v>12</v>
      </c>
      <c r="K3" s="7" t="n">
        <v>10</v>
      </c>
      <c r="L3" s="7" t="n">
        <v>8</v>
      </c>
      <c r="M3" s="5" t="inlineStr"/>
      <c r="N3" s="5" t="inlineStr"/>
      <c r="O3" s="5" t="inlineStr">
        <is>
          <t>Passive</t>
        </is>
      </c>
    </row>
    <row r="4">
      <c r="A4" s="6" t="inlineStr">
        <is>
          <t>STONE</t>
        </is>
      </c>
      <c r="B4" s="7" t="n">
        <v>1</v>
      </c>
      <c r="C4" s="7" t="n">
        <v>25</v>
      </c>
      <c r="D4" s="7" t="n">
        <v>20</v>
      </c>
      <c r="E4" s="7" t="n">
        <v>17</v>
      </c>
      <c r="F4" s="7" t="n">
        <v>14</v>
      </c>
      <c r="G4" s="7" t="n">
        <v>12</v>
      </c>
      <c r="H4" s="7" t="n">
        <v>10</v>
      </c>
      <c r="I4" s="7" t="n">
        <v>8</v>
      </c>
      <c r="J4" s="7" t="n">
        <v>7</v>
      </c>
      <c r="K4" s="7" t="n">
        <v>6</v>
      </c>
      <c r="L4" s="7" t="n">
        <v>5</v>
      </c>
      <c r="M4" s="6" t="inlineStr"/>
      <c r="N4" s="6" t="inlineStr"/>
      <c r="O4" s="6" t="inlineStr">
        <is>
          <t>Passive</t>
        </is>
      </c>
    </row>
    <row r="5">
      <c r="A5" s="5" t="inlineStr">
        <is>
          <t>COAL</t>
        </is>
      </c>
      <c r="B5" s="7" t="n">
        <v>1</v>
      </c>
      <c r="C5" s="7" t="n">
        <v>15</v>
      </c>
      <c r="D5" s="7" t="n">
        <v>20</v>
      </c>
      <c r="E5" s="7" t="n">
        <v>20</v>
      </c>
      <c r="F5" s="7" t="n">
        <v>18</v>
      </c>
      <c r="G5" s="7" t="n">
        <v>16</v>
      </c>
      <c r="H5" s="7" t="n">
        <v>14</v>
      </c>
      <c r="I5" s="7" t="n">
        <v>12</v>
      </c>
      <c r="J5" s="7" t="n">
        <v>10</v>
      </c>
      <c r="K5" s="7" t="n">
        <v>9</v>
      </c>
      <c r="L5" s="7" t="n">
        <v>8</v>
      </c>
      <c r="M5" s="5" t="inlineStr"/>
      <c r="N5" s="5" t="inlineStr"/>
      <c r="O5" s="5" t="inlineStr">
        <is>
          <t>Passive</t>
        </is>
      </c>
    </row>
    <row r="6">
      <c r="A6" s="6" t="inlineStr">
        <is>
          <t>DEEPSLATE</t>
        </is>
      </c>
      <c r="B6" s="7" t="n">
        <v>2</v>
      </c>
      <c r="C6" s="6" t="n">
        <v>0</v>
      </c>
      <c r="D6" s="7" t="n">
        <v>10</v>
      </c>
      <c r="E6" s="7" t="n">
        <v>10</v>
      </c>
      <c r="F6" s="7" t="n">
        <v>9</v>
      </c>
      <c r="G6" s="7" t="n">
        <v>8</v>
      </c>
      <c r="H6" s="7" t="n">
        <v>7</v>
      </c>
      <c r="I6" s="7" t="n">
        <v>6</v>
      </c>
      <c r="J6" s="7" t="n">
        <v>5</v>
      </c>
      <c r="K6" s="7" t="n">
        <v>4</v>
      </c>
      <c r="L6" s="7" t="n">
        <v>4</v>
      </c>
      <c r="M6" s="6" t="inlineStr"/>
      <c r="N6" s="6" t="inlineStr"/>
      <c r="O6" s="6" t="inlineStr">
        <is>
          <t>Passive</t>
        </is>
      </c>
    </row>
    <row r="7">
      <c r="A7" s="5" t="inlineStr">
        <is>
          <t>RAW_COPPER</t>
        </is>
      </c>
      <c r="B7" s="7" t="n">
        <v>2</v>
      </c>
      <c r="C7" s="5" t="n">
        <v>0</v>
      </c>
      <c r="D7" s="7" t="n">
        <v>5</v>
      </c>
      <c r="E7" s="7" t="n">
        <v>8</v>
      </c>
      <c r="F7" s="7" t="n">
        <v>8</v>
      </c>
      <c r="G7" s="7" t="n">
        <v>7</v>
      </c>
      <c r="H7" s="7" t="n">
        <v>6</v>
      </c>
      <c r="I7" s="7" t="n">
        <v>5</v>
      </c>
      <c r="J7" s="7" t="n">
        <v>5</v>
      </c>
      <c r="K7" s="7" t="n">
        <v>4</v>
      </c>
      <c r="L7" s="7" t="n">
        <v>4</v>
      </c>
      <c r="M7" s="5" t="inlineStr"/>
      <c r="N7" s="5" t="inlineStr"/>
      <c r="O7" s="5" t="inlineStr">
        <is>
          <t>Passive</t>
        </is>
      </c>
    </row>
    <row r="8">
      <c r="A8" s="6" t="inlineStr">
        <is>
          <t>RAW_IRON</t>
        </is>
      </c>
      <c r="B8" s="7" t="n">
        <v>3</v>
      </c>
      <c r="C8" s="6" t="n">
        <v>0</v>
      </c>
      <c r="D8" s="6" t="n">
        <v>0</v>
      </c>
      <c r="E8" s="7" t="n">
        <v>8</v>
      </c>
      <c r="F8" s="7" t="n">
        <v>12</v>
      </c>
      <c r="G8" s="7" t="n">
        <v>15</v>
      </c>
      <c r="H8" s="7" t="n">
        <v>17</v>
      </c>
      <c r="I8" s="7" t="n">
        <v>18</v>
      </c>
      <c r="J8" s="7" t="n">
        <v>18</v>
      </c>
      <c r="K8" s="7" t="n">
        <v>18</v>
      </c>
      <c r="L8" s="7" t="n">
        <v>18</v>
      </c>
      <c r="M8" s="6" t="inlineStr"/>
      <c r="N8" s="6" t="inlineStr"/>
      <c r="O8" s="6" t="inlineStr">
        <is>
          <t>Passive</t>
        </is>
      </c>
    </row>
    <row r="9">
      <c r="A9" s="5" t="inlineStr">
        <is>
          <t>FLINT</t>
        </is>
      </c>
      <c r="B9" s="7" t="n">
        <v>3</v>
      </c>
      <c r="C9" s="5" t="n">
        <v>0</v>
      </c>
      <c r="D9" s="5" t="n">
        <v>0</v>
      </c>
      <c r="E9" s="7" t="n">
        <v>2</v>
      </c>
      <c r="F9" s="7" t="n">
        <v>2</v>
      </c>
      <c r="G9" s="7" t="n">
        <v>2</v>
      </c>
      <c r="H9" s="7" t="n">
        <v>2</v>
      </c>
      <c r="I9" s="7" t="n">
        <v>2</v>
      </c>
      <c r="J9" s="7" t="n">
        <v>2</v>
      </c>
      <c r="K9" s="7" t="n">
        <v>2</v>
      </c>
      <c r="L9" s="7" t="n">
        <v>2</v>
      </c>
      <c r="M9" s="5" t="inlineStr"/>
      <c r="N9" s="5" t="inlineStr"/>
      <c r="O9" s="5" t="inlineStr">
        <is>
          <t>Passive</t>
        </is>
      </c>
    </row>
    <row r="10">
      <c r="A10" s="6" t="inlineStr">
        <is>
          <t>REDSTONE</t>
        </is>
      </c>
      <c r="B10" s="7" t="n">
        <v>4</v>
      </c>
      <c r="C10" s="6" t="n">
        <v>0</v>
      </c>
      <c r="D10" s="6" t="n">
        <v>0</v>
      </c>
      <c r="E10" s="6" t="n">
        <v>0</v>
      </c>
      <c r="F10" s="7" t="n">
        <v>5</v>
      </c>
      <c r="G10" s="7" t="n">
        <v>8</v>
      </c>
      <c r="H10" s="7" t="n">
        <v>10</v>
      </c>
      <c r="I10" s="7" t="n">
        <v>12</v>
      </c>
      <c r="J10" s="7" t="n">
        <v>13</v>
      </c>
      <c r="K10" s="7" t="n">
        <v>14</v>
      </c>
      <c r="L10" s="7" t="n">
        <v>14</v>
      </c>
      <c r="M10" s="6" t="inlineStr"/>
      <c r="N10" s="6" t="inlineStr"/>
      <c r="O10" s="6" t="inlineStr">
        <is>
          <t>Passive</t>
        </is>
      </c>
    </row>
    <row r="11">
      <c r="A11" s="5" t="inlineStr">
        <is>
          <t>RAW_GOLD</t>
        </is>
      </c>
      <c r="B11" s="7" t="n">
        <v>4</v>
      </c>
      <c r="C11" s="5" t="n">
        <v>0</v>
      </c>
      <c r="D11" s="5" t="n">
        <v>0</v>
      </c>
      <c r="E11" s="5" t="n">
        <v>0</v>
      </c>
      <c r="F11" s="7" t="n">
        <v>3</v>
      </c>
      <c r="G11" s="7" t="n">
        <v>5</v>
      </c>
      <c r="H11" s="7" t="n">
        <v>7</v>
      </c>
      <c r="I11" s="7" t="n">
        <v>8</v>
      </c>
      <c r="J11" s="7" t="n">
        <v>9</v>
      </c>
      <c r="K11" s="7" t="n">
        <v>10</v>
      </c>
      <c r="L11" s="7" t="n">
        <v>10</v>
      </c>
      <c r="M11" s="5" t="inlineStr"/>
      <c r="N11" s="5" t="inlineStr"/>
      <c r="O11" s="5" t="inlineStr">
        <is>
          <t>Passive</t>
        </is>
      </c>
    </row>
    <row r="12">
      <c r="A12" s="6" t="inlineStr">
        <is>
          <t>LAPIS_LAZULI</t>
        </is>
      </c>
      <c r="B12" s="7" t="n">
        <v>5</v>
      </c>
      <c r="C12" s="6" t="n">
        <v>0</v>
      </c>
      <c r="D12" s="6" t="n">
        <v>0</v>
      </c>
      <c r="E12" s="6" t="n">
        <v>0</v>
      </c>
      <c r="F12" s="6" t="n">
        <v>0</v>
      </c>
      <c r="G12" s="7" t="n">
        <v>5</v>
      </c>
      <c r="H12" s="7" t="n">
        <v>7</v>
      </c>
      <c r="I12" s="7" t="n">
        <v>8</v>
      </c>
      <c r="J12" s="7" t="n">
        <v>9</v>
      </c>
      <c r="K12" s="7" t="n">
        <v>10</v>
      </c>
      <c r="L12" s="7" t="n">
        <v>10</v>
      </c>
      <c r="M12" s="6" t="inlineStr"/>
      <c r="N12" s="6" t="inlineStr"/>
      <c r="O12" s="6" t="inlineStr">
        <is>
          <t>Passive</t>
        </is>
      </c>
    </row>
    <row r="13">
      <c r="A13" s="5" t="inlineStr">
        <is>
          <t>QUARTZ</t>
        </is>
      </c>
      <c r="B13" s="7" t="n">
        <v>5</v>
      </c>
      <c r="C13" s="5" t="n">
        <v>0</v>
      </c>
      <c r="D13" s="5" t="n">
        <v>0</v>
      </c>
      <c r="E13" s="5" t="n">
        <v>0</v>
      </c>
      <c r="F13" s="5" t="n">
        <v>0</v>
      </c>
      <c r="G13" s="7" t="n">
        <v>4</v>
      </c>
      <c r="H13" s="7" t="n">
        <v>5</v>
      </c>
      <c r="I13" s="7" t="n">
        <v>6</v>
      </c>
      <c r="J13" s="7" t="n">
        <v>7</v>
      </c>
      <c r="K13" s="7" t="n">
        <v>8</v>
      </c>
      <c r="L13" s="7" t="n">
        <v>8</v>
      </c>
      <c r="M13" s="5" t="inlineStr"/>
      <c r="N13" s="5" t="inlineStr"/>
      <c r="O13" s="5" t="inlineStr">
        <is>
          <t>Passive</t>
        </is>
      </c>
    </row>
    <row r="14">
      <c r="A14" s="6" t="inlineStr">
        <is>
          <t>AMETHYST_SHARD</t>
        </is>
      </c>
      <c r="B14" s="7" t="n">
        <v>6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7" t="n">
        <v>3</v>
      </c>
      <c r="I14" s="7" t="n">
        <v>4</v>
      </c>
      <c r="J14" s="7" t="n">
        <v>5</v>
      </c>
      <c r="K14" s="7" t="n">
        <v>6</v>
      </c>
      <c r="L14" s="7" t="n">
        <v>7</v>
      </c>
      <c r="M14" s="6" t="inlineStr"/>
      <c r="N14" s="6" t="inlineStr"/>
      <c r="O14" s="6" t="inlineStr">
        <is>
          <t>Passive</t>
        </is>
      </c>
    </row>
    <row r="15">
      <c r="A15" s="5" t="inlineStr">
        <is>
          <t>DIAMOND</t>
        </is>
      </c>
      <c r="B15" s="7" t="n">
        <v>6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7" t="n">
        <v>1</v>
      </c>
      <c r="I15" s="7" t="n">
        <v>1.5</v>
      </c>
      <c r="J15" s="7" t="n">
        <v>2</v>
      </c>
      <c r="K15" s="7" t="n">
        <v>2.5</v>
      </c>
      <c r="L15" s="7" t="n">
        <v>3</v>
      </c>
      <c r="M15" s="5" t="inlineStr">
        <is>
          <t>8/16</t>
        </is>
      </c>
      <c r="N15" s="5" t="inlineStr"/>
      <c r="O15" s="5" t="inlineStr">
        <is>
          <t>Passive capped</t>
        </is>
      </c>
    </row>
    <row r="16">
      <c r="A16" s="6" t="inlineStr">
        <is>
          <t>EMERALD</t>
        </is>
      </c>
      <c r="B16" s="7" t="n">
        <v>7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7" t="n">
        <v>1</v>
      </c>
      <c r="J16" s="7" t="n">
        <v>1.5</v>
      </c>
      <c r="K16" s="7" t="n">
        <v>2</v>
      </c>
      <c r="L16" s="7" t="n">
        <v>2.5</v>
      </c>
      <c r="M16" s="6" t="inlineStr">
        <is>
          <t>12</t>
        </is>
      </c>
      <c r="N16" s="6" t="inlineStr"/>
      <c r="O16" s="6" t="inlineStr">
        <is>
          <t>Passive capped</t>
        </is>
      </c>
    </row>
    <row r="17">
      <c r="A17" s="5" t="inlineStr">
        <is>
          <t>OBSIDIAN</t>
        </is>
      </c>
      <c r="B17" s="7" t="n">
        <v>8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7" t="n">
        <v>1</v>
      </c>
      <c r="K17" s="7" t="n">
        <v>1.5</v>
      </c>
      <c r="L17" s="7" t="n">
        <v>2</v>
      </c>
      <c r="M17" s="5" t="inlineStr"/>
      <c r="N17" s="5" t="inlineStr"/>
      <c r="O17" s="5" t="inlineStr">
        <is>
          <t>Passive</t>
        </is>
      </c>
    </row>
    <row r="18">
      <c r="A18" s="6" t="inlineStr">
        <is>
          <t>ANCIENT_DEBRIS</t>
        </is>
      </c>
      <c r="B18" s="7" t="n">
        <v>10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7" t="n">
        <v>0.2</v>
      </c>
      <c r="M18" s="6" t="inlineStr"/>
      <c r="N18" s="6" t="inlineStr">
        <is>
          <t>2 shared</t>
        </is>
      </c>
      <c r="O18" s="6" t="inlineStr">
        <is>
          <t>Passive capped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1" customWidth="1" min="13" max="13"/>
    <col width="12" customWidth="1" min="14" max="14"/>
    <col width="16" customWidth="1" min="15" max="15"/>
  </cols>
  <sheetData>
    <row r="1">
      <c r="A1" s="3" t="inlineStr">
        <is>
          <t>Farming Drops</t>
        </is>
      </c>
    </row>
    <row r="2">
      <c r="A2" s="4" t="inlineStr">
        <is>
          <t>Material</t>
        </is>
      </c>
      <c r="B2" s="4" t="inlineStr">
        <is>
          <t>Unlock bracket</t>
        </is>
      </c>
      <c r="C2" s="4" t="inlineStr">
        <is>
          <t>B1 weight</t>
        </is>
      </c>
      <c r="D2" s="4" t="inlineStr">
        <is>
          <t>B2 weight</t>
        </is>
      </c>
      <c r="E2" s="4" t="inlineStr">
        <is>
          <t>B3 weight</t>
        </is>
      </c>
      <c r="F2" s="4" t="inlineStr">
        <is>
          <t>B4 weight</t>
        </is>
      </c>
      <c r="G2" s="4" t="inlineStr">
        <is>
          <t>B5 weight</t>
        </is>
      </c>
      <c r="H2" s="4" t="inlineStr">
        <is>
          <t>B6 weight</t>
        </is>
      </c>
      <c r="I2" s="4" t="inlineStr">
        <is>
          <t>B7 weight</t>
        </is>
      </c>
      <c r="J2" s="4" t="inlineStr">
        <is>
          <t>B8 weight</t>
        </is>
      </c>
      <c r="K2" s="4" t="inlineStr">
        <is>
          <t>B9 weight</t>
        </is>
      </c>
      <c r="L2" s="4" t="inlineStr">
        <is>
          <t>B10 weight</t>
        </is>
      </c>
      <c r="M2" s="4" t="inlineStr">
        <is>
          <t>Daily cap</t>
        </is>
      </c>
      <c r="N2" s="4" t="inlineStr">
        <is>
          <t>Weekly cap</t>
        </is>
      </c>
      <c r="O2" s="4" t="inlineStr">
        <is>
          <t>Source</t>
        </is>
      </c>
    </row>
    <row r="3">
      <c r="A3" s="5" t="inlineStr">
        <is>
          <t>WHEAT</t>
        </is>
      </c>
      <c r="B3" s="7" t="n">
        <v>1</v>
      </c>
      <c r="C3" s="7" t="n">
        <v>50</v>
      </c>
      <c r="D3" s="7" t="n">
        <v>40</v>
      </c>
      <c r="E3" s="7" t="n">
        <v>32</v>
      </c>
      <c r="F3" s="7" t="n">
        <v>27</v>
      </c>
      <c r="G3" s="7" t="n">
        <v>23</v>
      </c>
      <c r="H3" s="7" t="n">
        <v>20</v>
      </c>
      <c r="I3" s="7" t="n">
        <v>18</v>
      </c>
      <c r="J3" s="7" t="n">
        <v>16</v>
      </c>
      <c r="K3" s="7" t="n">
        <v>14</v>
      </c>
      <c r="L3" s="7" t="n">
        <v>12</v>
      </c>
      <c r="M3" s="5" t="inlineStr"/>
      <c r="N3" s="5" t="inlineStr"/>
      <c r="O3" s="5" t="inlineStr">
        <is>
          <t>Passive</t>
        </is>
      </c>
    </row>
    <row r="4">
      <c r="A4" s="6" t="inlineStr">
        <is>
          <t>CARROT</t>
        </is>
      </c>
      <c r="B4" s="7" t="n">
        <v>1</v>
      </c>
      <c r="C4" s="7" t="n">
        <v>30</v>
      </c>
      <c r="D4" s="7" t="n">
        <v>25</v>
      </c>
      <c r="E4" s="7" t="n">
        <v>22</v>
      </c>
      <c r="F4" s="7" t="n">
        <v>19</v>
      </c>
      <c r="G4" s="7" t="n">
        <v>17</v>
      </c>
      <c r="H4" s="7" t="n">
        <v>15</v>
      </c>
      <c r="I4" s="7" t="n">
        <v>14</v>
      </c>
      <c r="J4" s="7" t="n">
        <v>13</v>
      </c>
      <c r="K4" s="7" t="n">
        <v>12</v>
      </c>
      <c r="L4" s="7" t="n">
        <v>11</v>
      </c>
      <c r="M4" s="6" t="inlineStr"/>
      <c r="N4" s="6" t="inlineStr"/>
      <c r="O4" s="6" t="inlineStr">
        <is>
          <t>Passive</t>
        </is>
      </c>
    </row>
    <row r="5">
      <c r="A5" s="5" t="inlineStr">
        <is>
          <t>POTATO</t>
        </is>
      </c>
      <c r="B5" s="7" t="n">
        <v>1</v>
      </c>
      <c r="C5" s="7" t="n">
        <v>20</v>
      </c>
      <c r="D5" s="7" t="n">
        <v>20</v>
      </c>
      <c r="E5" s="7" t="n">
        <v>18</v>
      </c>
      <c r="F5" s="7" t="n">
        <v>16</v>
      </c>
      <c r="G5" s="7" t="n">
        <v>14</v>
      </c>
      <c r="H5" s="7" t="n">
        <v>13</v>
      </c>
      <c r="I5" s="7" t="n">
        <v>12</v>
      </c>
      <c r="J5" s="7" t="n">
        <v>11</v>
      </c>
      <c r="K5" s="7" t="n">
        <v>10</v>
      </c>
      <c r="L5" s="7" t="n">
        <v>9</v>
      </c>
      <c r="M5" s="5" t="inlineStr"/>
      <c r="N5" s="5" t="inlineStr"/>
      <c r="O5" s="5" t="inlineStr">
        <is>
          <t>Passive</t>
        </is>
      </c>
    </row>
    <row r="6">
      <c r="A6" s="6" t="inlineStr">
        <is>
          <t>BEETROOT</t>
        </is>
      </c>
      <c r="B6" s="7" t="n">
        <v>2</v>
      </c>
      <c r="C6" s="6" t="n">
        <v>0</v>
      </c>
      <c r="D6" s="7" t="n">
        <v>8</v>
      </c>
      <c r="E6" s="7" t="n">
        <v>9</v>
      </c>
      <c r="F6" s="7" t="n">
        <v>9</v>
      </c>
      <c r="G6" s="7" t="n">
        <v>8</v>
      </c>
      <c r="H6" s="7" t="n">
        <v>8</v>
      </c>
      <c r="I6" s="7" t="n">
        <v>7</v>
      </c>
      <c r="J6" s="7" t="n">
        <v>7</v>
      </c>
      <c r="K6" s="7" t="n">
        <v>6</v>
      </c>
      <c r="L6" s="7" t="n">
        <v>6</v>
      </c>
      <c r="M6" s="6" t="inlineStr"/>
      <c r="N6" s="6" t="inlineStr"/>
      <c r="O6" s="6" t="inlineStr">
        <is>
          <t>Passive</t>
        </is>
      </c>
    </row>
    <row r="7">
      <c r="A7" s="5" t="inlineStr">
        <is>
          <t>PUMPKIN</t>
        </is>
      </c>
      <c r="B7" s="7" t="n">
        <v>2</v>
      </c>
      <c r="C7" s="5" t="n">
        <v>0</v>
      </c>
      <c r="D7" s="7" t="n">
        <v>4</v>
      </c>
      <c r="E7" s="7" t="n">
        <v>6</v>
      </c>
      <c r="F7" s="7" t="n">
        <v>7</v>
      </c>
      <c r="G7" s="7" t="n">
        <v>7</v>
      </c>
      <c r="H7" s="7" t="n">
        <v>7</v>
      </c>
      <c r="I7" s="7" t="n">
        <v>7</v>
      </c>
      <c r="J7" s="7" t="n">
        <v>7</v>
      </c>
      <c r="K7" s="7" t="n">
        <v>7</v>
      </c>
      <c r="L7" s="7" t="n">
        <v>7</v>
      </c>
      <c r="M7" s="5" t="inlineStr"/>
      <c r="N7" s="5" t="inlineStr"/>
      <c r="O7" s="5" t="inlineStr">
        <is>
          <t>Passive</t>
        </is>
      </c>
    </row>
    <row r="8">
      <c r="A8" s="6" t="inlineStr">
        <is>
          <t>MELON_SLICE</t>
        </is>
      </c>
      <c r="B8" s="7" t="n">
        <v>2</v>
      </c>
      <c r="C8" s="6" t="n">
        <v>0</v>
      </c>
      <c r="D8" s="7" t="n">
        <v>3</v>
      </c>
      <c r="E8" s="7" t="n">
        <v>5</v>
      </c>
      <c r="F8" s="7" t="n">
        <v>6</v>
      </c>
      <c r="G8" s="7" t="n">
        <v>6</v>
      </c>
      <c r="H8" s="7" t="n">
        <v>6</v>
      </c>
      <c r="I8" s="7" t="n">
        <v>6</v>
      </c>
      <c r="J8" s="7" t="n">
        <v>6</v>
      </c>
      <c r="K8" s="7" t="n">
        <v>6</v>
      </c>
      <c r="L8" s="7" t="n">
        <v>6</v>
      </c>
      <c r="M8" s="6" t="inlineStr"/>
      <c r="N8" s="6" t="inlineStr"/>
      <c r="O8" s="6" t="inlineStr">
        <is>
          <t>Passive</t>
        </is>
      </c>
    </row>
    <row r="9">
      <c r="A9" s="5" t="inlineStr">
        <is>
          <t>SUGAR_CANE</t>
        </is>
      </c>
      <c r="B9" s="7" t="n">
        <v>3</v>
      </c>
      <c r="C9" s="5" t="n">
        <v>0</v>
      </c>
      <c r="D9" s="5" t="n">
        <v>0</v>
      </c>
      <c r="E9" s="7" t="n">
        <v>6</v>
      </c>
      <c r="F9" s="7" t="n">
        <v>8</v>
      </c>
      <c r="G9" s="7" t="n">
        <v>9</v>
      </c>
      <c r="H9" s="7" t="n">
        <v>10</v>
      </c>
      <c r="I9" s="7" t="n">
        <v>10</v>
      </c>
      <c r="J9" s="7" t="n">
        <v>10</v>
      </c>
      <c r="K9" s="7" t="n">
        <v>10</v>
      </c>
      <c r="L9" s="7" t="n">
        <v>10</v>
      </c>
      <c r="M9" s="5" t="inlineStr"/>
      <c r="N9" s="5" t="inlineStr"/>
      <c r="O9" s="5" t="inlineStr">
        <is>
          <t>Passive</t>
        </is>
      </c>
    </row>
    <row r="10">
      <c r="A10" s="6" t="inlineStr">
        <is>
          <t>CACTUS</t>
        </is>
      </c>
      <c r="B10" s="7" t="n">
        <v>3</v>
      </c>
      <c r="C10" s="6" t="n">
        <v>0</v>
      </c>
      <c r="D10" s="6" t="n">
        <v>0</v>
      </c>
      <c r="E10" s="7" t="n">
        <v>3</v>
      </c>
      <c r="F10" s="7" t="n">
        <v>4</v>
      </c>
      <c r="G10" s="7" t="n">
        <v>5</v>
      </c>
      <c r="H10" s="7" t="n">
        <v>5</v>
      </c>
      <c r="I10" s="7" t="n">
        <v>5</v>
      </c>
      <c r="J10" s="7" t="n">
        <v>5</v>
      </c>
      <c r="K10" s="7" t="n">
        <v>5</v>
      </c>
      <c r="L10" s="7" t="n">
        <v>5</v>
      </c>
      <c r="M10" s="6" t="inlineStr"/>
      <c r="N10" s="6" t="inlineStr"/>
      <c r="O10" s="6" t="inlineStr">
        <is>
          <t>Passive</t>
        </is>
      </c>
    </row>
    <row r="11">
      <c r="A11" s="5" t="inlineStr">
        <is>
          <t>COCOA_BEANS</t>
        </is>
      </c>
      <c r="B11" s="7" t="n">
        <v>3</v>
      </c>
      <c r="C11" s="5" t="n">
        <v>0</v>
      </c>
      <c r="D11" s="5" t="n">
        <v>0</v>
      </c>
      <c r="E11" s="7" t="n">
        <v>3</v>
      </c>
      <c r="F11" s="7" t="n">
        <v>4</v>
      </c>
      <c r="G11" s="7" t="n">
        <v>5</v>
      </c>
      <c r="H11" s="7" t="n">
        <v>5</v>
      </c>
      <c r="I11" s="7" t="n">
        <v>5</v>
      </c>
      <c r="J11" s="7" t="n">
        <v>5</v>
      </c>
      <c r="K11" s="7" t="n">
        <v>5</v>
      </c>
      <c r="L11" s="7" t="n">
        <v>5</v>
      </c>
      <c r="M11" s="5" t="inlineStr"/>
      <c r="N11" s="5" t="inlineStr"/>
      <c r="O11" s="5" t="inlineStr">
        <is>
          <t>Passive</t>
        </is>
      </c>
    </row>
    <row r="12">
      <c r="A12" s="6" t="inlineStr">
        <is>
          <t>BROWN_MUSHROOM</t>
        </is>
      </c>
      <c r="B12" s="7" t="n">
        <v>4</v>
      </c>
      <c r="C12" s="6" t="n">
        <v>0</v>
      </c>
      <c r="D12" s="6" t="n">
        <v>0</v>
      </c>
      <c r="E12" s="6" t="n">
        <v>0</v>
      </c>
      <c r="F12" s="7" t="n">
        <v>4</v>
      </c>
      <c r="G12" s="7" t="n">
        <v>5</v>
      </c>
      <c r="H12" s="7" t="n">
        <v>5</v>
      </c>
      <c r="I12" s="7" t="n">
        <v>6</v>
      </c>
      <c r="J12" s="7" t="n">
        <v>6</v>
      </c>
      <c r="K12" s="7" t="n">
        <v>6</v>
      </c>
      <c r="L12" s="7" t="n">
        <v>6</v>
      </c>
      <c r="M12" s="6" t="inlineStr"/>
      <c r="N12" s="6" t="inlineStr"/>
      <c r="O12" s="6" t="inlineStr">
        <is>
          <t>Passive</t>
        </is>
      </c>
    </row>
    <row r="13">
      <c r="A13" s="5" t="inlineStr">
        <is>
          <t>SWEET_BERRIES</t>
        </is>
      </c>
      <c r="B13" s="7" t="n">
        <v>4</v>
      </c>
      <c r="C13" s="5" t="n">
        <v>0</v>
      </c>
      <c r="D13" s="5" t="n">
        <v>0</v>
      </c>
      <c r="E13" s="5" t="n">
        <v>0</v>
      </c>
      <c r="F13" s="7" t="n">
        <v>4</v>
      </c>
      <c r="G13" s="7" t="n">
        <v>5</v>
      </c>
      <c r="H13" s="7" t="n">
        <v>6</v>
      </c>
      <c r="I13" s="7" t="n">
        <v>6</v>
      </c>
      <c r="J13" s="7" t="n">
        <v>6</v>
      </c>
      <c r="K13" s="7" t="n">
        <v>6</v>
      </c>
      <c r="L13" s="7" t="n">
        <v>6</v>
      </c>
      <c r="M13" s="5" t="inlineStr"/>
      <c r="N13" s="5" t="inlineStr"/>
      <c r="O13" s="5" t="inlineStr">
        <is>
          <t>Passive</t>
        </is>
      </c>
    </row>
    <row r="14">
      <c r="A14" s="6" t="inlineStr">
        <is>
          <t>BAMBOO</t>
        </is>
      </c>
      <c r="B14" s="7" t="n">
        <v>4</v>
      </c>
      <c r="C14" s="6" t="n">
        <v>0</v>
      </c>
      <c r="D14" s="6" t="n">
        <v>0</v>
      </c>
      <c r="E14" s="6" t="n">
        <v>0</v>
      </c>
      <c r="F14" s="7" t="n">
        <v>4</v>
      </c>
      <c r="G14" s="7" t="n">
        <v>5</v>
      </c>
      <c r="H14" s="7" t="n">
        <v>6</v>
      </c>
      <c r="I14" s="7" t="n">
        <v>6</v>
      </c>
      <c r="J14" s="7" t="n">
        <v>6</v>
      </c>
      <c r="K14" s="7" t="n">
        <v>6</v>
      </c>
      <c r="L14" s="7" t="n">
        <v>6</v>
      </c>
      <c r="M14" s="6" t="inlineStr"/>
      <c r="N14" s="6" t="inlineStr"/>
      <c r="O14" s="6" t="inlineStr">
        <is>
          <t>Passive</t>
        </is>
      </c>
    </row>
    <row r="15">
      <c r="A15" s="5" t="inlineStr">
        <is>
          <t>NETHER_WART</t>
        </is>
      </c>
      <c r="B15" s="7" t="n">
        <v>5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7" t="n">
        <v>1</v>
      </c>
      <c r="I15" s="7" t="n">
        <v>1.5</v>
      </c>
      <c r="J15" s="7" t="n">
        <v>2</v>
      </c>
      <c r="K15" s="7" t="n">
        <v>2.5</v>
      </c>
      <c r="L15" s="7" t="n">
        <v>3</v>
      </c>
      <c r="M15" s="5" t="inlineStr"/>
      <c r="N15" s="5" t="inlineStr"/>
      <c r="O15" s="5" t="inlineStr">
        <is>
          <t>Event until B6</t>
        </is>
      </c>
    </row>
    <row r="16">
      <c r="A16" s="6" t="inlineStr">
        <is>
          <t>HONEY_BOTTLE</t>
        </is>
      </c>
      <c r="B16" s="7" t="n">
        <v>6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7" t="n">
        <v>2</v>
      </c>
      <c r="I16" s="7" t="n">
        <v>3</v>
      </c>
      <c r="J16" s="7" t="n">
        <v>4</v>
      </c>
      <c r="K16" s="7" t="n">
        <v>5</v>
      </c>
      <c r="L16" s="7" t="n">
        <v>6</v>
      </c>
      <c r="M16" s="6" t="inlineStr"/>
      <c r="N16" s="6" t="inlineStr"/>
      <c r="O16" s="6" t="inlineStr">
        <is>
          <t>Passive</t>
        </is>
      </c>
    </row>
    <row r="17">
      <c r="A17" s="5" t="inlineStr">
        <is>
          <t>CHORUS_FRUIT</t>
        </is>
      </c>
      <c r="B17" s="7" t="n">
        <v>8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7" t="n">
        <v>1</v>
      </c>
      <c r="K17" s="7" t="n">
        <v>2</v>
      </c>
      <c r="L17" s="7" t="n">
        <v>3</v>
      </c>
      <c r="M17" s="5" t="inlineStr"/>
      <c r="N17" s="5" t="inlineStr"/>
      <c r="O17" s="5" t="inlineStr">
        <is>
          <t>Event/Passive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1" customWidth="1" min="13" max="13"/>
    <col width="12" customWidth="1" min="14" max="14"/>
    <col width="15" customWidth="1" min="15" max="15"/>
  </cols>
  <sheetData>
    <row r="1">
      <c r="A1" s="3" t="inlineStr">
        <is>
          <t>Wood Drops</t>
        </is>
      </c>
    </row>
    <row r="2">
      <c r="A2" s="4" t="inlineStr">
        <is>
          <t>Material</t>
        </is>
      </c>
      <c r="B2" s="4" t="inlineStr">
        <is>
          <t>Unlock bracket</t>
        </is>
      </c>
      <c r="C2" s="4" t="inlineStr">
        <is>
          <t>B1 weight</t>
        </is>
      </c>
      <c r="D2" s="4" t="inlineStr">
        <is>
          <t>B2 weight</t>
        </is>
      </c>
      <c r="E2" s="4" t="inlineStr">
        <is>
          <t>B3 weight</t>
        </is>
      </c>
      <c r="F2" s="4" t="inlineStr">
        <is>
          <t>B4 weight</t>
        </is>
      </c>
      <c r="G2" s="4" t="inlineStr">
        <is>
          <t>B5 weight</t>
        </is>
      </c>
      <c r="H2" s="4" t="inlineStr">
        <is>
          <t>B6 weight</t>
        </is>
      </c>
      <c r="I2" s="4" t="inlineStr">
        <is>
          <t>B7 weight</t>
        </is>
      </c>
      <c r="J2" s="4" t="inlineStr">
        <is>
          <t>B8 weight</t>
        </is>
      </c>
      <c r="K2" s="4" t="inlineStr">
        <is>
          <t>B9 weight</t>
        </is>
      </c>
      <c r="L2" s="4" t="inlineStr">
        <is>
          <t>B10 weight</t>
        </is>
      </c>
      <c r="M2" s="4" t="inlineStr">
        <is>
          <t>Daily cap</t>
        </is>
      </c>
      <c r="N2" s="4" t="inlineStr">
        <is>
          <t>Weekly cap</t>
        </is>
      </c>
      <c r="O2" s="4" t="inlineStr">
        <is>
          <t>Source</t>
        </is>
      </c>
    </row>
    <row r="3">
      <c r="A3" s="5" t="inlineStr">
        <is>
          <t>OAK_LOG</t>
        </is>
      </c>
      <c r="B3" s="7" t="n">
        <v>1</v>
      </c>
      <c r="C3" s="7" t="n">
        <v>45</v>
      </c>
      <c r="D3" s="7" t="n">
        <v>35</v>
      </c>
      <c r="E3" s="7" t="n">
        <v>28</v>
      </c>
      <c r="F3" s="7" t="n">
        <v>24</v>
      </c>
      <c r="G3" s="7" t="n">
        <v>21</v>
      </c>
      <c r="H3" s="7" t="n">
        <v>18</v>
      </c>
      <c r="I3" s="7" t="n">
        <v>16</v>
      </c>
      <c r="J3" s="7" t="n">
        <v>14</v>
      </c>
      <c r="K3" s="7" t="n">
        <v>12</v>
      </c>
      <c r="L3" s="7" t="n">
        <v>10</v>
      </c>
      <c r="M3" s="5" t="inlineStr"/>
      <c r="N3" s="5" t="inlineStr"/>
      <c r="O3" s="5" t="inlineStr">
        <is>
          <t>Passive</t>
        </is>
      </c>
    </row>
    <row r="4">
      <c r="A4" s="6" t="inlineStr">
        <is>
          <t>BIRCH_LOG</t>
        </is>
      </c>
      <c r="B4" s="7" t="n">
        <v>1</v>
      </c>
      <c r="C4" s="7" t="n">
        <v>30</v>
      </c>
      <c r="D4" s="7" t="n">
        <v>25</v>
      </c>
      <c r="E4" s="7" t="n">
        <v>21</v>
      </c>
      <c r="F4" s="7" t="n">
        <v>18</v>
      </c>
      <c r="G4" s="7" t="n">
        <v>16</v>
      </c>
      <c r="H4" s="7" t="n">
        <v>14</v>
      </c>
      <c r="I4" s="7" t="n">
        <v>13</v>
      </c>
      <c r="J4" s="7" t="n">
        <v>12</v>
      </c>
      <c r="K4" s="7" t="n">
        <v>11</v>
      </c>
      <c r="L4" s="7" t="n">
        <v>10</v>
      </c>
      <c r="M4" s="6" t="inlineStr"/>
      <c r="N4" s="6" t="inlineStr"/>
      <c r="O4" s="6" t="inlineStr">
        <is>
          <t>Passive</t>
        </is>
      </c>
    </row>
    <row r="5">
      <c r="A5" s="5" t="inlineStr">
        <is>
          <t>SPRUCE_LOG</t>
        </is>
      </c>
      <c r="B5" s="7" t="n">
        <v>1</v>
      </c>
      <c r="C5" s="7" t="n">
        <v>25</v>
      </c>
      <c r="D5" s="7" t="n">
        <v>23</v>
      </c>
      <c r="E5" s="7" t="n">
        <v>20</v>
      </c>
      <c r="F5" s="7" t="n">
        <v>18</v>
      </c>
      <c r="G5" s="7" t="n">
        <v>16</v>
      </c>
      <c r="H5" s="7" t="n">
        <v>15</v>
      </c>
      <c r="I5" s="7" t="n">
        <v>14</v>
      </c>
      <c r="J5" s="7" t="n">
        <v>13</v>
      </c>
      <c r="K5" s="7" t="n">
        <v>12</v>
      </c>
      <c r="L5" s="7" t="n">
        <v>11</v>
      </c>
      <c r="M5" s="5" t="inlineStr"/>
      <c r="N5" s="5" t="inlineStr"/>
      <c r="O5" s="5" t="inlineStr">
        <is>
          <t>Passive</t>
        </is>
      </c>
    </row>
    <row r="6">
      <c r="A6" s="6" t="inlineStr">
        <is>
          <t>JUNGLE_LOG</t>
        </is>
      </c>
      <c r="B6" s="7" t="n">
        <v>2</v>
      </c>
      <c r="C6" s="6" t="n">
        <v>0</v>
      </c>
      <c r="D6" s="7" t="n">
        <v>9</v>
      </c>
      <c r="E6" s="7" t="n">
        <v>11</v>
      </c>
      <c r="F6" s="7" t="n">
        <v>12</v>
      </c>
      <c r="G6" s="7" t="n">
        <v>12</v>
      </c>
      <c r="H6" s="7" t="n">
        <v>12</v>
      </c>
      <c r="I6" s="7" t="n">
        <v>12</v>
      </c>
      <c r="J6" s="7" t="n">
        <v>12</v>
      </c>
      <c r="K6" s="7" t="n">
        <v>12</v>
      </c>
      <c r="L6" s="7" t="n">
        <v>12</v>
      </c>
      <c r="M6" s="6" t="inlineStr"/>
      <c r="N6" s="6" t="inlineStr"/>
      <c r="O6" s="6" t="inlineStr">
        <is>
          <t>Passive</t>
        </is>
      </c>
    </row>
    <row r="7">
      <c r="A7" s="5" t="inlineStr">
        <is>
          <t>ACACIA_LOG</t>
        </is>
      </c>
      <c r="B7" s="7" t="n">
        <v>2</v>
      </c>
      <c r="C7" s="5" t="n">
        <v>0</v>
      </c>
      <c r="D7" s="7" t="n">
        <v>8</v>
      </c>
      <c r="E7" s="7" t="n">
        <v>10</v>
      </c>
      <c r="F7" s="7" t="n">
        <v>11</v>
      </c>
      <c r="G7" s="7" t="n">
        <v>11</v>
      </c>
      <c r="H7" s="7" t="n">
        <v>11</v>
      </c>
      <c r="I7" s="7" t="n">
        <v>11</v>
      </c>
      <c r="J7" s="7" t="n">
        <v>11</v>
      </c>
      <c r="K7" s="7" t="n">
        <v>11</v>
      </c>
      <c r="L7" s="7" t="n">
        <v>11</v>
      </c>
      <c r="M7" s="5" t="inlineStr"/>
      <c r="N7" s="5" t="inlineStr"/>
      <c r="O7" s="5" t="inlineStr">
        <is>
          <t>Passive</t>
        </is>
      </c>
    </row>
    <row r="8">
      <c r="A8" s="6" t="inlineStr">
        <is>
          <t>DARK_OAK_LOG</t>
        </is>
      </c>
      <c r="B8" s="7" t="n">
        <v>3</v>
      </c>
      <c r="C8" s="6" t="n">
        <v>0</v>
      </c>
      <c r="D8" s="6" t="n">
        <v>0</v>
      </c>
      <c r="E8" s="7" t="n">
        <v>10</v>
      </c>
      <c r="F8" s="7" t="n">
        <v>12</v>
      </c>
      <c r="G8" s="7" t="n">
        <v>13</v>
      </c>
      <c r="H8" s="7" t="n">
        <v>14</v>
      </c>
      <c r="I8" s="7" t="n">
        <v>14</v>
      </c>
      <c r="J8" s="7" t="n">
        <v>14</v>
      </c>
      <c r="K8" s="7" t="n">
        <v>14</v>
      </c>
      <c r="L8" s="7" t="n">
        <v>14</v>
      </c>
      <c r="M8" s="6" t="inlineStr"/>
      <c r="N8" s="6" t="inlineStr"/>
      <c r="O8" s="6" t="inlineStr">
        <is>
          <t>Passive</t>
        </is>
      </c>
    </row>
    <row r="9">
      <c r="A9" s="5" t="inlineStr">
        <is>
          <t>MANGROVE_LOG</t>
        </is>
      </c>
      <c r="B9" s="7" t="n">
        <v>3</v>
      </c>
      <c r="C9" s="5" t="n">
        <v>0</v>
      </c>
      <c r="D9" s="5" t="n">
        <v>0</v>
      </c>
      <c r="E9" s="7" t="n">
        <v>6</v>
      </c>
      <c r="F9" s="7" t="n">
        <v>8</v>
      </c>
      <c r="G9" s="7" t="n">
        <v>9</v>
      </c>
      <c r="H9" s="7" t="n">
        <v>10</v>
      </c>
      <c r="I9" s="7" t="n">
        <v>10</v>
      </c>
      <c r="J9" s="7" t="n">
        <v>10</v>
      </c>
      <c r="K9" s="7" t="n">
        <v>10</v>
      </c>
      <c r="L9" s="7" t="n">
        <v>10</v>
      </c>
      <c r="M9" s="5" t="inlineStr"/>
      <c r="N9" s="5" t="inlineStr"/>
      <c r="O9" s="5" t="inlineStr">
        <is>
          <t>Passive</t>
        </is>
      </c>
    </row>
    <row r="10">
      <c r="A10" s="6" t="inlineStr">
        <is>
          <t>CHERRY_LOG</t>
        </is>
      </c>
      <c r="B10" s="7" t="n">
        <v>4</v>
      </c>
      <c r="C10" s="6" t="n">
        <v>0</v>
      </c>
      <c r="D10" s="6" t="n">
        <v>0</v>
      </c>
      <c r="E10" s="6" t="n">
        <v>0</v>
      </c>
      <c r="F10" s="7" t="n">
        <v>8</v>
      </c>
      <c r="G10" s="7" t="n">
        <v>10</v>
      </c>
      <c r="H10" s="7" t="n">
        <v>11</v>
      </c>
      <c r="I10" s="7" t="n">
        <v>12</v>
      </c>
      <c r="J10" s="7" t="n">
        <v>12</v>
      </c>
      <c r="K10" s="7" t="n">
        <v>12</v>
      </c>
      <c r="L10" s="7" t="n">
        <v>12</v>
      </c>
      <c r="M10" s="6" t="inlineStr"/>
      <c r="N10" s="6" t="inlineStr"/>
      <c r="O10" s="6" t="inlineStr">
        <is>
          <t>Passive</t>
        </is>
      </c>
    </row>
    <row r="11">
      <c r="A11" s="5" t="inlineStr">
        <is>
          <t>BAMBOO_BLOCK</t>
        </is>
      </c>
      <c r="B11" s="7" t="n">
        <v>4</v>
      </c>
      <c r="C11" s="5" t="n">
        <v>0</v>
      </c>
      <c r="D11" s="5" t="n">
        <v>0</v>
      </c>
      <c r="E11" s="5" t="n">
        <v>0</v>
      </c>
      <c r="F11" s="7" t="n">
        <v>5</v>
      </c>
      <c r="G11" s="7" t="n">
        <v>7</v>
      </c>
      <c r="H11" s="7" t="n">
        <v>8</v>
      </c>
      <c r="I11" s="7" t="n">
        <v>9</v>
      </c>
      <c r="J11" s="7" t="n">
        <v>9</v>
      </c>
      <c r="K11" s="7" t="n">
        <v>9</v>
      </c>
      <c r="L11" s="7" t="n">
        <v>9</v>
      </c>
      <c r="M11" s="5" t="inlineStr"/>
      <c r="N11" s="5" t="inlineStr"/>
      <c r="O11" s="5" t="inlineStr">
        <is>
          <t>Passive</t>
        </is>
      </c>
    </row>
    <row r="12">
      <c r="A12" s="6" t="inlineStr">
        <is>
          <t>CRIMSON_STEM</t>
        </is>
      </c>
      <c r="B12" s="7" t="n">
        <v>6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7" t="n">
        <v>2</v>
      </c>
      <c r="I12" s="7" t="n">
        <v>3</v>
      </c>
      <c r="J12" s="7" t="n">
        <v>4</v>
      </c>
      <c r="K12" s="7" t="n">
        <v>5</v>
      </c>
      <c r="L12" s="7" t="n">
        <v>6</v>
      </c>
      <c r="M12" s="6" t="inlineStr"/>
      <c r="N12" s="6" t="inlineStr"/>
      <c r="O12" s="6" t="inlineStr">
        <is>
          <t>Event/Passive</t>
        </is>
      </c>
    </row>
    <row r="13">
      <c r="A13" s="5" t="inlineStr">
        <is>
          <t>WARPED_STEM</t>
        </is>
      </c>
      <c r="B13" s="7" t="n">
        <v>6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7" t="n">
        <v>2</v>
      </c>
      <c r="I13" s="7" t="n">
        <v>3</v>
      </c>
      <c r="J13" s="7" t="n">
        <v>4</v>
      </c>
      <c r="K13" s="7" t="n">
        <v>5</v>
      </c>
      <c r="L13" s="7" t="n">
        <v>6</v>
      </c>
      <c r="M13" s="5" t="inlineStr"/>
      <c r="N13" s="5" t="inlineStr"/>
      <c r="O13" s="5" t="inlineStr">
        <is>
          <t>Event/Passive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1" customWidth="1" min="13" max="13"/>
    <col width="12" customWidth="1" min="14" max="14"/>
    <col width="10" customWidth="1" min="15" max="15"/>
  </cols>
  <sheetData>
    <row r="1">
      <c r="A1" s="3" t="inlineStr">
        <is>
          <t>Livestock Drops</t>
        </is>
      </c>
    </row>
    <row r="2">
      <c r="A2" s="4" t="inlineStr">
        <is>
          <t>Material</t>
        </is>
      </c>
      <c r="B2" s="4" t="inlineStr">
        <is>
          <t>Unlock bracket</t>
        </is>
      </c>
      <c r="C2" s="4" t="inlineStr">
        <is>
          <t>B1 weight</t>
        </is>
      </c>
      <c r="D2" s="4" t="inlineStr">
        <is>
          <t>B2 weight</t>
        </is>
      </c>
      <c r="E2" s="4" t="inlineStr">
        <is>
          <t>B3 weight</t>
        </is>
      </c>
      <c r="F2" s="4" t="inlineStr">
        <is>
          <t>B4 weight</t>
        </is>
      </c>
      <c r="G2" s="4" t="inlineStr">
        <is>
          <t>B5 weight</t>
        </is>
      </c>
      <c r="H2" s="4" t="inlineStr">
        <is>
          <t>B6 weight</t>
        </is>
      </c>
      <c r="I2" s="4" t="inlineStr">
        <is>
          <t>B7 weight</t>
        </is>
      </c>
      <c r="J2" s="4" t="inlineStr">
        <is>
          <t>B8 weight</t>
        </is>
      </c>
      <c r="K2" s="4" t="inlineStr">
        <is>
          <t>B9 weight</t>
        </is>
      </c>
      <c r="L2" s="4" t="inlineStr">
        <is>
          <t>B10 weight</t>
        </is>
      </c>
      <c r="M2" s="4" t="inlineStr">
        <is>
          <t>Daily cap</t>
        </is>
      </c>
      <c r="N2" s="4" t="inlineStr">
        <is>
          <t>Weekly cap</t>
        </is>
      </c>
      <c r="O2" s="4" t="inlineStr">
        <is>
          <t>Source</t>
        </is>
      </c>
    </row>
    <row r="3">
      <c r="A3" s="5" t="inlineStr">
        <is>
          <t>BEEF</t>
        </is>
      </c>
      <c r="B3" s="7" t="n">
        <v>1</v>
      </c>
      <c r="C3" s="7" t="n">
        <v>30</v>
      </c>
      <c r="D3" s="7" t="n">
        <v>25</v>
      </c>
      <c r="E3" s="7" t="n">
        <v>21</v>
      </c>
      <c r="F3" s="7" t="n">
        <v>18</v>
      </c>
      <c r="G3" s="7" t="n">
        <v>16</v>
      </c>
      <c r="H3" s="7" t="n">
        <v>14</v>
      </c>
      <c r="I3" s="7" t="n">
        <v>13</v>
      </c>
      <c r="J3" s="7" t="n">
        <v>12</v>
      </c>
      <c r="K3" s="7" t="n">
        <v>11</v>
      </c>
      <c r="L3" s="7" t="n">
        <v>10</v>
      </c>
      <c r="M3" s="5" t="inlineStr"/>
      <c r="N3" s="5" t="inlineStr"/>
      <c r="O3" s="5" t="inlineStr">
        <is>
          <t>Passive</t>
        </is>
      </c>
    </row>
    <row r="4">
      <c r="A4" s="6" t="inlineStr">
        <is>
          <t>PORKCHOP</t>
        </is>
      </c>
      <c r="B4" s="7" t="n">
        <v>1</v>
      </c>
      <c r="C4" s="7" t="n">
        <v>25</v>
      </c>
      <c r="D4" s="7" t="n">
        <v>22</v>
      </c>
      <c r="E4" s="7" t="n">
        <v>19</v>
      </c>
      <c r="F4" s="7" t="n">
        <v>17</v>
      </c>
      <c r="G4" s="7" t="n">
        <v>15</v>
      </c>
      <c r="H4" s="7" t="n">
        <v>14</v>
      </c>
      <c r="I4" s="7" t="n">
        <v>13</v>
      </c>
      <c r="J4" s="7" t="n">
        <v>12</v>
      </c>
      <c r="K4" s="7" t="n">
        <v>11</v>
      </c>
      <c r="L4" s="7" t="n">
        <v>10</v>
      </c>
      <c r="M4" s="6" t="inlineStr"/>
      <c r="N4" s="6" t="inlineStr"/>
      <c r="O4" s="6" t="inlineStr">
        <is>
          <t>Passive</t>
        </is>
      </c>
    </row>
    <row r="5">
      <c r="A5" s="5" t="inlineStr">
        <is>
          <t>CHICKEN</t>
        </is>
      </c>
      <c r="B5" s="7" t="n">
        <v>1</v>
      </c>
      <c r="C5" s="7" t="n">
        <v>20</v>
      </c>
      <c r="D5" s="7" t="n">
        <v>18</v>
      </c>
      <c r="E5" s="7" t="n">
        <v>16</v>
      </c>
      <c r="F5" s="7" t="n">
        <v>14</v>
      </c>
      <c r="G5" s="7" t="n">
        <v>13</v>
      </c>
      <c r="H5" s="7" t="n">
        <v>12</v>
      </c>
      <c r="I5" s="7" t="n">
        <v>11</v>
      </c>
      <c r="J5" s="7" t="n">
        <v>10</v>
      </c>
      <c r="K5" s="7" t="n">
        <v>9</v>
      </c>
      <c r="L5" s="7" t="n">
        <v>8</v>
      </c>
      <c r="M5" s="5" t="inlineStr"/>
      <c r="N5" s="5" t="inlineStr"/>
      <c r="O5" s="5" t="inlineStr">
        <is>
          <t>Passive</t>
        </is>
      </c>
    </row>
    <row r="6">
      <c r="A6" s="6" t="inlineStr">
        <is>
          <t>EGG</t>
        </is>
      </c>
      <c r="B6" s="7" t="n">
        <v>1</v>
      </c>
      <c r="C6" s="7" t="n">
        <v>25</v>
      </c>
      <c r="D6" s="7" t="n">
        <v>20</v>
      </c>
      <c r="E6" s="7" t="n">
        <v>17</v>
      </c>
      <c r="F6" s="7" t="n">
        <v>15</v>
      </c>
      <c r="G6" s="7" t="n">
        <v>13</v>
      </c>
      <c r="H6" s="7" t="n">
        <v>12</v>
      </c>
      <c r="I6" s="7" t="n">
        <v>11</v>
      </c>
      <c r="J6" s="7" t="n">
        <v>10</v>
      </c>
      <c r="K6" s="7" t="n">
        <v>9</v>
      </c>
      <c r="L6" s="7" t="n">
        <v>8</v>
      </c>
      <c r="M6" s="6" t="inlineStr"/>
      <c r="N6" s="6" t="inlineStr"/>
      <c r="O6" s="6" t="inlineStr">
        <is>
          <t>Passive</t>
        </is>
      </c>
    </row>
    <row r="7">
      <c r="A7" s="5" t="inlineStr">
        <is>
          <t>LEATHER</t>
        </is>
      </c>
      <c r="B7" s="7" t="n">
        <v>2</v>
      </c>
      <c r="C7" s="5" t="n">
        <v>0</v>
      </c>
      <c r="D7" s="7" t="n">
        <v>9</v>
      </c>
      <c r="E7" s="7" t="n">
        <v>11</v>
      </c>
      <c r="F7" s="7" t="n">
        <v>12</v>
      </c>
      <c r="G7" s="7" t="n">
        <v>13</v>
      </c>
      <c r="H7" s="7" t="n">
        <v>14</v>
      </c>
      <c r="I7" s="7" t="n">
        <v>15</v>
      </c>
      <c r="J7" s="7" t="n">
        <v>15</v>
      </c>
      <c r="K7" s="7" t="n">
        <v>15</v>
      </c>
      <c r="L7" s="7" t="n">
        <v>15</v>
      </c>
      <c r="M7" s="5" t="inlineStr"/>
      <c r="N7" s="5" t="inlineStr"/>
      <c r="O7" s="5" t="inlineStr">
        <is>
          <t>Passive</t>
        </is>
      </c>
    </row>
    <row r="8">
      <c r="A8" s="6" t="inlineStr">
        <is>
          <t>WHITE_WOOL</t>
        </is>
      </c>
      <c r="B8" s="7" t="n">
        <v>2</v>
      </c>
      <c r="C8" s="6" t="n">
        <v>0</v>
      </c>
      <c r="D8" s="7" t="n">
        <v>7</v>
      </c>
      <c r="E8" s="7" t="n">
        <v>9</v>
      </c>
      <c r="F8" s="7" t="n">
        <v>10</v>
      </c>
      <c r="G8" s="7" t="n">
        <v>11</v>
      </c>
      <c r="H8" s="7" t="n">
        <v>12</v>
      </c>
      <c r="I8" s="7" t="n">
        <v>13</v>
      </c>
      <c r="J8" s="7" t="n">
        <v>13</v>
      </c>
      <c r="K8" s="7" t="n">
        <v>13</v>
      </c>
      <c r="L8" s="7" t="n">
        <v>13</v>
      </c>
      <c r="M8" s="6" t="inlineStr"/>
      <c r="N8" s="6" t="inlineStr"/>
      <c r="O8" s="6" t="inlineStr">
        <is>
          <t>Passive</t>
        </is>
      </c>
    </row>
    <row r="9">
      <c r="A9" s="5" t="inlineStr">
        <is>
          <t>FEATHER</t>
        </is>
      </c>
      <c r="B9" s="7" t="n">
        <v>2</v>
      </c>
      <c r="C9" s="5" t="n">
        <v>0</v>
      </c>
      <c r="D9" s="7" t="n">
        <v>5</v>
      </c>
      <c r="E9" s="7" t="n">
        <v>6</v>
      </c>
      <c r="F9" s="7" t="n">
        <v>7</v>
      </c>
      <c r="G9" s="7" t="n">
        <v>7</v>
      </c>
      <c r="H9" s="7" t="n">
        <v>7</v>
      </c>
      <c r="I9" s="7" t="n">
        <v>7</v>
      </c>
      <c r="J9" s="7" t="n">
        <v>7</v>
      </c>
      <c r="K9" s="7" t="n">
        <v>7</v>
      </c>
      <c r="L9" s="7" t="n">
        <v>7</v>
      </c>
      <c r="M9" s="5" t="inlineStr"/>
      <c r="N9" s="5" t="inlineStr"/>
      <c r="O9" s="5" t="inlineStr">
        <is>
          <t>Passive</t>
        </is>
      </c>
    </row>
    <row r="10">
      <c r="A10" s="6" t="inlineStr">
        <is>
          <t>MILK_BUCKET</t>
        </is>
      </c>
      <c r="B10" s="7" t="n">
        <v>3</v>
      </c>
      <c r="C10" s="6" t="n">
        <v>0</v>
      </c>
      <c r="D10" s="6" t="n">
        <v>0</v>
      </c>
      <c r="E10" s="7" t="n">
        <v>2</v>
      </c>
      <c r="F10" s="7" t="n">
        <v>3</v>
      </c>
      <c r="G10" s="7" t="n">
        <v>4</v>
      </c>
      <c r="H10" s="7" t="n">
        <v>5</v>
      </c>
      <c r="I10" s="7" t="n">
        <v>5</v>
      </c>
      <c r="J10" s="7" t="n">
        <v>5</v>
      </c>
      <c r="K10" s="7" t="n">
        <v>5</v>
      </c>
      <c r="L10" s="7" t="n">
        <v>5</v>
      </c>
      <c r="M10" s="6" t="inlineStr"/>
      <c r="N10" s="6" t="inlineStr"/>
      <c r="O10" s="6" t="inlineStr">
        <is>
          <t>Passive</t>
        </is>
      </c>
    </row>
    <row r="11">
      <c r="A11" s="5" t="inlineStr">
        <is>
          <t>RABBIT_HIDE</t>
        </is>
      </c>
      <c r="B11" s="7" t="n">
        <v>3</v>
      </c>
      <c r="C11" s="5" t="n">
        <v>0</v>
      </c>
      <c r="D11" s="5" t="n">
        <v>0</v>
      </c>
      <c r="E11" s="7" t="n">
        <v>3</v>
      </c>
      <c r="F11" s="7" t="n">
        <v>4</v>
      </c>
      <c r="G11" s="7" t="n">
        <v>5</v>
      </c>
      <c r="H11" s="7" t="n">
        <v>6</v>
      </c>
      <c r="I11" s="7" t="n">
        <v>6</v>
      </c>
      <c r="J11" s="7" t="n">
        <v>6</v>
      </c>
      <c r="K11" s="7" t="n">
        <v>6</v>
      </c>
      <c r="L11" s="7" t="n">
        <v>6</v>
      </c>
      <c r="M11" s="5" t="inlineStr"/>
      <c r="N11" s="5" t="inlineStr"/>
      <c r="O11" s="5" t="inlineStr">
        <is>
          <t>Passive</t>
        </is>
      </c>
    </row>
    <row r="12">
      <c r="A12" s="6" t="inlineStr">
        <is>
          <t>COD</t>
        </is>
      </c>
      <c r="B12" s="7" t="n">
        <v>4</v>
      </c>
      <c r="C12" s="6" t="n">
        <v>0</v>
      </c>
      <c r="D12" s="6" t="n">
        <v>0</v>
      </c>
      <c r="E12" s="6" t="n">
        <v>0</v>
      </c>
      <c r="F12" s="7" t="n">
        <v>7</v>
      </c>
      <c r="G12" s="7" t="n">
        <v>8</v>
      </c>
      <c r="H12" s="7" t="n">
        <v>9</v>
      </c>
      <c r="I12" s="7" t="n">
        <v>9</v>
      </c>
      <c r="J12" s="7" t="n">
        <v>9</v>
      </c>
      <c r="K12" s="7" t="n">
        <v>9</v>
      </c>
      <c r="L12" s="7" t="n">
        <v>9</v>
      </c>
      <c r="M12" s="6" t="inlineStr"/>
      <c r="N12" s="6" t="inlineStr"/>
      <c r="O12" s="6" t="inlineStr">
        <is>
          <t>Passive</t>
        </is>
      </c>
    </row>
    <row r="13">
      <c r="A13" s="5" t="inlineStr">
        <is>
          <t>SALMON</t>
        </is>
      </c>
      <c r="B13" s="7" t="n">
        <v>4</v>
      </c>
      <c r="C13" s="5" t="n">
        <v>0</v>
      </c>
      <c r="D13" s="5" t="n">
        <v>0</v>
      </c>
      <c r="E13" s="5" t="n">
        <v>0</v>
      </c>
      <c r="F13" s="7" t="n">
        <v>5</v>
      </c>
      <c r="G13" s="7" t="n">
        <v>6</v>
      </c>
      <c r="H13" s="7" t="n">
        <v>7</v>
      </c>
      <c r="I13" s="7" t="n">
        <v>7</v>
      </c>
      <c r="J13" s="7" t="n">
        <v>7</v>
      </c>
      <c r="K13" s="7" t="n">
        <v>7</v>
      </c>
      <c r="L13" s="7" t="n">
        <v>7</v>
      </c>
      <c r="M13" s="5" t="inlineStr"/>
      <c r="N13" s="5" t="inlineStr"/>
      <c r="O13" s="5" t="inlineStr">
        <is>
          <t>Passive</t>
        </is>
      </c>
    </row>
    <row r="14">
      <c r="A14" s="6" t="inlineStr">
        <is>
          <t>GLOW_INK_SAC</t>
        </is>
      </c>
      <c r="B14" s="7" t="n">
        <v>5</v>
      </c>
      <c r="C14" s="6" t="n">
        <v>0</v>
      </c>
      <c r="D14" s="6" t="n">
        <v>0</v>
      </c>
      <c r="E14" s="6" t="n">
        <v>0</v>
      </c>
      <c r="F14" s="6" t="n">
        <v>0</v>
      </c>
      <c r="G14" s="7" t="n">
        <v>2</v>
      </c>
      <c r="H14" s="7" t="n">
        <v>3</v>
      </c>
      <c r="I14" s="7" t="n">
        <v>4</v>
      </c>
      <c r="J14" s="7" t="n">
        <v>5</v>
      </c>
      <c r="K14" s="7" t="n">
        <v>6</v>
      </c>
      <c r="L14" s="7" t="n">
        <v>7</v>
      </c>
      <c r="M14" s="6" t="inlineStr"/>
      <c r="N14" s="6" t="inlineStr"/>
      <c r="O14" s="6" t="inlineStr">
        <is>
          <t>Passive</t>
        </is>
      </c>
    </row>
    <row r="15">
      <c r="A15" s="5" t="inlineStr">
        <is>
          <t>RABBIT_FOOT</t>
        </is>
      </c>
      <c r="B15" s="7" t="n">
        <v>6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7" t="n">
        <v>1</v>
      </c>
      <c r="I15" s="7" t="n">
        <v>1.5</v>
      </c>
      <c r="J15" s="7" t="n">
        <v>2</v>
      </c>
      <c r="K15" s="7" t="n">
        <v>2.5</v>
      </c>
      <c r="L15" s="7" t="n">
        <v>3</v>
      </c>
      <c r="M15" s="5" t="inlineStr"/>
      <c r="N15" s="5" t="inlineStr"/>
      <c r="O15" s="5" t="inlineStr">
        <is>
          <t>Passive</t>
        </is>
      </c>
    </row>
    <row r="16">
      <c r="A16" s="6" t="inlineStr">
        <is>
          <t>NAUTILUS_SHELL</t>
        </is>
      </c>
      <c r="B16" s="7" t="n">
        <v>6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7" t="n">
        <v>0.5</v>
      </c>
      <c r="I16" s="7" t="n">
        <v>0.7</v>
      </c>
      <c r="J16" s="7" t="n">
        <v>1</v>
      </c>
      <c r="K16" s="7" t="n">
        <v>1.2</v>
      </c>
      <c r="L16" s="7" t="n">
        <v>1.5</v>
      </c>
      <c r="M16" s="6" t="inlineStr">
        <is>
          <t>4</t>
        </is>
      </c>
      <c r="N16" s="6" t="inlineStr"/>
      <c r="O16" s="6" t="inlineStr">
        <is>
          <t>Capped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1" customWidth="1" min="13" max="13"/>
    <col width="12" customWidth="1" min="14" max="14"/>
    <col width="19" customWidth="1" min="15" max="15"/>
  </cols>
  <sheetData>
    <row r="1">
      <c r="A1" s="3" t="inlineStr">
        <is>
          <t>Hunter Drops</t>
        </is>
      </c>
    </row>
    <row r="2">
      <c r="A2" s="4" t="inlineStr">
        <is>
          <t>Material</t>
        </is>
      </c>
      <c r="B2" s="4" t="inlineStr">
        <is>
          <t>Unlock bracket</t>
        </is>
      </c>
      <c r="C2" s="4" t="inlineStr">
        <is>
          <t>B1 weight</t>
        </is>
      </c>
      <c r="D2" s="4" t="inlineStr">
        <is>
          <t>B2 weight</t>
        </is>
      </c>
      <c r="E2" s="4" t="inlineStr">
        <is>
          <t>B3 weight</t>
        </is>
      </c>
      <c r="F2" s="4" t="inlineStr">
        <is>
          <t>B4 weight</t>
        </is>
      </c>
      <c r="G2" s="4" t="inlineStr">
        <is>
          <t>B5 weight</t>
        </is>
      </c>
      <c r="H2" s="4" t="inlineStr">
        <is>
          <t>B6 weight</t>
        </is>
      </c>
      <c r="I2" s="4" t="inlineStr">
        <is>
          <t>B7 weight</t>
        </is>
      </c>
      <c r="J2" s="4" t="inlineStr">
        <is>
          <t>B8 weight</t>
        </is>
      </c>
      <c r="K2" s="4" t="inlineStr">
        <is>
          <t>B9 weight</t>
        </is>
      </c>
      <c r="L2" s="4" t="inlineStr">
        <is>
          <t>B10 weight</t>
        </is>
      </c>
      <c r="M2" s="4" t="inlineStr">
        <is>
          <t>Daily cap</t>
        </is>
      </c>
      <c r="N2" s="4" t="inlineStr">
        <is>
          <t>Weekly cap</t>
        </is>
      </c>
      <c r="O2" s="4" t="inlineStr">
        <is>
          <t>Source</t>
        </is>
      </c>
    </row>
    <row r="3">
      <c r="A3" s="5" t="inlineStr">
        <is>
          <t>ROTTEN_FLESH</t>
        </is>
      </c>
      <c r="B3" s="7" t="n">
        <v>1</v>
      </c>
      <c r="C3" s="7" t="n">
        <v>40</v>
      </c>
      <c r="D3" s="7" t="n">
        <v>32</v>
      </c>
      <c r="E3" s="7" t="n">
        <v>26</v>
      </c>
      <c r="F3" s="7" t="n">
        <v>21</v>
      </c>
      <c r="G3" s="7" t="n">
        <v>18</v>
      </c>
      <c r="H3" s="7" t="n">
        <v>15</v>
      </c>
      <c r="I3" s="7" t="n">
        <v>13</v>
      </c>
      <c r="J3" s="7" t="n">
        <v>11</v>
      </c>
      <c r="K3" s="7" t="n">
        <v>10</v>
      </c>
      <c r="L3" s="7" t="n">
        <v>9</v>
      </c>
      <c r="M3" s="5" t="inlineStr"/>
      <c r="N3" s="5" t="inlineStr"/>
      <c r="O3" s="5" t="inlineStr">
        <is>
          <t>Passive</t>
        </is>
      </c>
    </row>
    <row r="4">
      <c r="A4" s="6" t="inlineStr">
        <is>
          <t>BONE</t>
        </is>
      </c>
      <c r="B4" s="7" t="n">
        <v>1</v>
      </c>
      <c r="C4" s="7" t="n">
        <v>35</v>
      </c>
      <c r="D4" s="7" t="n">
        <v>29</v>
      </c>
      <c r="E4" s="7" t="n">
        <v>25</v>
      </c>
      <c r="F4" s="7" t="n">
        <v>22</v>
      </c>
      <c r="G4" s="7" t="n">
        <v>20</v>
      </c>
      <c r="H4" s="7" t="n">
        <v>18</v>
      </c>
      <c r="I4" s="7" t="n">
        <v>17</v>
      </c>
      <c r="J4" s="7" t="n">
        <v>16</v>
      </c>
      <c r="K4" s="7" t="n">
        <v>15</v>
      </c>
      <c r="L4" s="7" t="n">
        <v>14</v>
      </c>
      <c r="M4" s="6" t="inlineStr"/>
      <c r="N4" s="6" t="inlineStr"/>
      <c r="O4" s="6" t="inlineStr">
        <is>
          <t>Passive</t>
        </is>
      </c>
    </row>
    <row r="5">
      <c r="A5" s="5" t="inlineStr">
        <is>
          <t>STRING</t>
        </is>
      </c>
      <c r="B5" s="7" t="n">
        <v>1</v>
      </c>
      <c r="C5" s="7" t="n">
        <v>25</v>
      </c>
      <c r="D5" s="7" t="n">
        <v>22</v>
      </c>
      <c r="E5" s="7" t="n">
        <v>19</v>
      </c>
      <c r="F5" s="7" t="n">
        <v>17</v>
      </c>
      <c r="G5" s="7" t="n">
        <v>15</v>
      </c>
      <c r="H5" s="7" t="n">
        <v>14</v>
      </c>
      <c r="I5" s="7" t="n">
        <v>13</v>
      </c>
      <c r="J5" s="7" t="n">
        <v>12</v>
      </c>
      <c r="K5" s="7" t="n">
        <v>11</v>
      </c>
      <c r="L5" s="7" t="n">
        <v>10</v>
      </c>
      <c r="M5" s="5" t="inlineStr"/>
      <c r="N5" s="5" t="inlineStr"/>
      <c r="O5" s="5" t="inlineStr">
        <is>
          <t>Passive</t>
        </is>
      </c>
    </row>
    <row r="6">
      <c r="A6" s="6" t="inlineStr">
        <is>
          <t>GUNPOWDER</t>
        </is>
      </c>
      <c r="B6" s="7" t="n">
        <v>2</v>
      </c>
      <c r="C6" s="6" t="n">
        <v>0</v>
      </c>
      <c r="D6" s="7" t="n">
        <v>9</v>
      </c>
      <c r="E6" s="7" t="n">
        <v>12</v>
      </c>
      <c r="F6" s="7" t="n">
        <v>14</v>
      </c>
      <c r="G6" s="7" t="n">
        <v>15</v>
      </c>
      <c r="H6" s="7" t="n">
        <v>16</v>
      </c>
      <c r="I6" s="7" t="n">
        <v>17</v>
      </c>
      <c r="J6" s="7" t="n">
        <v>18</v>
      </c>
      <c r="K6" s="7" t="n">
        <v>18</v>
      </c>
      <c r="L6" s="7" t="n">
        <v>18</v>
      </c>
      <c r="M6" s="6" t="inlineStr"/>
      <c r="N6" s="6" t="inlineStr"/>
      <c r="O6" s="6" t="inlineStr">
        <is>
          <t>Passive</t>
        </is>
      </c>
    </row>
    <row r="7">
      <c r="A7" s="5" t="inlineStr">
        <is>
          <t>SPIDER_EYE</t>
        </is>
      </c>
      <c r="B7" s="7" t="n">
        <v>2</v>
      </c>
      <c r="C7" s="5" t="n">
        <v>0</v>
      </c>
      <c r="D7" s="7" t="n">
        <v>6</v>
      </c>
      <c r="E7" s="7" t="n">
        <v>8</v>
      </c>
      <c r="F7" s="7" t="n">
        <v>9</v>
      </c>
      <c r="G7" s="7" t="n">
        <v>10</v>
      </c>
      <c r="H7" s="7" t="n">
        <v>10</v>
      </c>
      <c r="I7" s="7" t="n">
        <v>10</v>
      </c>
      <c r="J7" s="7" t="n">
        <v>10</v>
      </c>
      <c r="K7" s="7" t="n">
        <v>10</v>
      </c>
      <c r="L7" s="7" t="n">
        <v>10</v>
      </c>
      <c r="M7" s="5" t="inlineStr"/>
      <c r="N7" s="5" t="inlineStr"/>
      <c r="O7" s="5" t="inlineStr">
        <is>
          <t>Passive</t>
        </is>
      </c>
    </row>
    <row r="8">
      <c r="A8" s="6" t="inlineStr">
        <is>
          <t>ARROW</t>
        </is>
      </c>
      <c r="B8" s="7" t="n">
        <v>2</v>
      </c>
      <c r="C8" s="6" t="n">
        <v>0</v>
      </c>
      <c r="D8" s="7" t="n">
        <v>5</v>
      </c>
      <c r="E8" s="7" t="n">
        <v>6</v>
      </c>
      <c r="F8" s="7" t="n">
        <v>7</v>
      </c>
      <c r="G8" s="7" t="n">
        <v>7</v>
      </c>
      <c r="H8" s="7" t="n">
        <v>7</v>
      </c>
      <c r="I8" s="7" t="n">
        <v>7</v>
      </c>
      <c r="J8" s="7" t="n">
        <v>7</v>
      </c>
      <c r="K8" s="7" t="n">
        <v>7</v>
      </c>
      <c r="L8" s="7" t="n">
        <v>7</v>
      </c>
      <c r="M8" s="6" t="inlineStr"/>
      <c r="N8" s="6" t="inlineStr"/>
      <c r="O8" s="6" t="inlineStr">
        <is>
          <t>Passive</t>
        </is>
      </c>
    </row>
    <row r="9">
      <c r="A9" s="5" t="inlineStr">
        <is>
          <t>SLIME_BALL</t>
        </is>
      </c>
      <c r="B9" s="7" t="n">
        <v>3</v>
      </c>
      <c r="C9" s="5" t="n">
        <v>0</v>
      </c>
      <c r="D9" s="5" t="n">
        <v>0</v>
      </c>
      <c r="E9" s="7" t="n">
        <v>5</v>
      </c>
      <c r="F9" s="7" t="n">
        <v>7</v>
      </c>
      <c r="G9" s="7" t="n">
        <v>8</v>
      </c>
      <c r="H9" s="7" t="n">
        <v>9</v>
      </c>
      <c r="I9" s="7" t="n">
        <v>10</v>
      </c>
      <c r="J9" s="7" t="n">
        <v>10</v>
      </c>
      <c r="K9" s="7" t="n">
        <v>10</v>
      </c>
      <c r="L9" s="7" t="n">
        <v>10</v>
      </c>
      <c r="M9" s="5" t="inlineStr"/>
      <c r="N9" s="5" t="inlineStr"/>
      <c r="O9" s="5" t="inlineStr">
        <is>
          <t>Passive</t>
        </is>
      </c>
    </row>
    <row r="10">
      <c r="A10" s="6" t="inlineStr">
        <is>
          <t>MAGMA_CREAM</t>
        </is>
      </c>
      <c r="B10" s="7" t="n">
        <v>3</v>
      </c>
      <c r="C10" s="6" t="n">
        <v>0</v>
      </c>
      <c r="D10" s="6" t="n">
        <v>0</v>
      </c>
      <c r="E10" s="7" t="n">
        <v>2</v>
      </c>
      <c r="F10" s="7" t="n">
        <v>3</v>
      </c>
      <c r="G10" s="7" t="n">
        <v>4</v>
      </c>
      <c r="H10" s="7" t="n">
        <v>5</v>
      </c>
      <c r="I10" s="7" t="n">
        <v>6</v>
      </c>
      <c r="J10" s="7" t="n">
        <v>7</v>
      </c>
      <c r="K10" s="7" t="n">
        <v>8</v>
      </c>
      <c r="L10" s="7" t="n">
        <v>8</v>
      </c>
      <c r="M10" s="6" t="inlineStr"/>
      <c r="N10" s="6" t="inlineStr"/>
      <c r="O10" s="6" t="inlineStr">
        <is>
          <t>Passive</t>
        </is>
      </c>
    </row>
    <row r="11">
      <c r="A11" s="5" t="inlineStr">
        <is>
          <t>ENDER_PEARL</t>
        </is>
      </c>
      <c r="B11" s="7" t="n">
        <v>4</v>
      </c>
      <c r="C11" s="5" t="n">
        <v>0</v>
      </c>
      <c r="D11" s="5" t="n">
        <v>0</v>
      </c>
      <c r="E11" s="5" t="n">
        <v>0</v>
      </c>
      <c r="F11" s="7" t="n">
        <v>1</v>
      </c>
      <c r="G11" s="7" t="n">
        <v>1.5</v>
      </c>
      <c r="H11" s="7" t="n">
        <v>2</v>
      </c>
      <c r="I11" s="7" t="n">
        <v>2.5</v>
      </c>
      <c r="J11" s="7" t="n">
        <v>3</v>
      </c>
      <c r="K11" s="7" t="n">
        <v>3.5</v>
      </c>
      <c r="L11" s="7" t="n">
        <v>4</v>
      </c>
      <c r="M11" s="5" t="inlineStr"/>
      <c r="N11" s="5" t="inlineStr"/>
      <c r="O11" s="5" t="inlineStr">
        <is>
          <t>Passive</t>
        </is>
      </c>
    </row>
    <row r="12">
      <c r="A12" s="6" t="inlineStr">
        <is>
          <t>BLAZE_ROD</t>
        </is>
      </c>
      <c r="B12" s="7" t="n">
        <v>5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7" t="n">
        <v>1</v>
      </c>
      <c r="I12" s="7" t="n">
        <v>1.5</v>
      </c>
      <c r="J12" s="7" t="n">
        <v>2</v>
      </c>
      <c r="K12" s="7" t="n">
        <v>2.5</v>
      </c>
      <c r="L12" s="7" t="n">
        <v>3</v>
      </c>
      <c r="M12" s="6" t="inlineStr"/>
      <c r="N12" s="6" t="inlineStr"/>
      <c r="O12" s="6" t="inlineStr">
        <is>
          <t>Event until B6</t>
        </is>
      </c>
    </row>
    <row r="13">
      <c r="A13" s="5" t="inlineStr">
        <is>
          <t>GHAST_TEAR</t>
        </is>
      </c>
      <c r="B13" s="7" t="n">
        <v>6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7" t="n">
        <v>0.5</v>
      </c>
      <c r="I13" s="7" t="n">
        <v>0.7</v>
      </c>
      <c r="J13" s="7" t="n">
        <v>1</v>
      </c>
      <c r="K13" s="7" t="n">
        <v>1.2</v>
      </c>
      <c r="L13" s="7" t="n">
        <v>1.5</v>
      </c>
      <c r="M13" s="5" t="inlineStr">
        <is>
          <t>4</t>
        </is>
      </c>
      <c r="N13" s="5" t="inlineStr"/>
      <c r="O13" s="5" t="inlineStr">
        <is>
          <t>Capped</t>
        </is>
      </c>
    </row>
    <row r="14">
      <c r="A14" s="6" t="inlineStr">
        <is>
          <t>PHANTOM_MEMBRANE</t>
        </is>
      </c>
      <c r="B14" s="7" t="n">
        <v>6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7" t="n">
        <v>1</v>
      </c>
      <c r="I14" s="7" t="n">
        <v>1.5</v>
      </c>
      <c r="J14" s="7" t="n">
        <v>2</v>
      </c>
      <c r="K14" s="7" t="n">
        <v>2.5</v>
      </c>
      <c r="L14" s="7" t="n">
        <v>3</v>
      </c>
      <c r="M14" s="6" t="inlineStr"/>
      <c r="N14" s="6" t="inlineStr"/>
      <c r="O14" s="6" t="inlineStr">
        <is>
          <t>Passive</t>
        </is>
      </c>
    </row>
    <row r="15">
      <c r="A15" s="5" t="inlineStr">
        <is>
          <t>PRISMARINE_SHARD</t>
        </is>
      </c>
      <c r="B15" s="7" t="n">
        <v>8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7" t="n">
        <v>1</v>
      </c>
      <c r="K15" s="7" t="n">
        <v>1.5</v>
      </c>
      <c r="L15" s="7" t="n">
        <v>2</v>
      </c>
      <c r="M15" s="5" t="inlineStr"/>
      <c r="N15" s="5" t="inlineStr"/>
      <c r="O15" s="5" t="inlineStr">
        <is>
          <t>Event/Passive</t>
        </is>
      </c>
    </row>
    <row r="16">
      <c r="A16" s="6" t="inlineStr">
        <is>
          <t>WITHER_SKELETON_SKULL</t>
        </is>
      </c>
      <c r="B16" s="7" t="n">
        <v>10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inlineStr"/>
      <c r="N16" s="6" t="inlineStr">
        <is>
          <t>1</t>
        </is>
      </c>
      <c r="O16" s="6" t="inlineStr">
        <is>
          <t>Active event only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5" customWidth="1" min="3" max="3"/>
    <col width="10" customWidth="1" min="4" max="4"/>
    <col width="18" customWidth="1" min="5" max="5"/>
    <col width="15" customWidth="1" min="6" max="6"/>
  </cols>
  <sheetData>
    <row r="1">
      <c r="A1" s="3" t="inlineStr">
        <is>
          <t>Exploration event families</t>
        </is>
      </c>
    </row>
    <row r="2">
      <c r="A2" s="4" t="inlineStr">
        <is>
          <t>Family</t>
        </is>
      </c>
      <c r="B2" s="4" t="inlineStr">
        <is>
          <t>Primary stat</t>
        </is>
      </c>
      <c r="C2" s="4" t="inlineStr">
        <is>
          <t>Base duration</t>
        </is>
      </c>
      <c r="D2" s="4" t="inlineStr">
        <is>
          <t>Node EXP</t>
        </is>
      </c>
      <c r="E2" s="4" t="inlineStr">
        <is>
          <t>Main reward</t>
        </is>
      </c>
      <c r="F2" s="4" t="inlineStr">
        <is>
          <t>First bracket</t>
        </is>
      </c>
    </row>
    <row r="3">
      <c r="A3" s="5" t="inlineStr">
        <is>
          <t>Survey</t>
        </is>
      </c>
      <c r="B3" s="5" t="inlineStr">
        <is>
          <t>Stamina</t>
        </is>
      </c>
      <c r="C3" s="5" t="n">
        <v>15</v>
      </c>
      <c r="D3" s="5" t="n">
        <v>700</v>
      </c>
      <c r="E3" s="5" t="inlineStr">
        <is>
          <t>Node EXP</t>
        </is>
      </c>
      <c r="F3" s="5" t="n">
        <v>2</v>
      </c>
    </row>
    <row r="4">
      <c r="A4" s="6" t="inlineStr">
        <is>
          <t>Resource Run</t>
        </is>
      </c>
      <c r="B4" s="6" t="inlineStr">
        <is>
          <t>Diligence</t>
        </is>
      </c>
      <c r="C4" s="6" t="n">
        <v>25</v>
      </c>
      <c r="D4" s="6" t="n">
        <v>250</v>
      </c>
      <c r="E4" s="6" t="inlineStr">
        <is>
          <t>Quantity</t>
        </is>
      </c>
      <c r="F4" s="6" t="n">
        <v>2</v>
      </c>
    </row>
    <row r="5">
      <c r="A5" s="5" t="inlineStr">
        <is>
          <t>Rare Discovery</t>
        </is>
      </c>
      <c r="B5" s="5" t="inlineStr">
        <is>
          <t>Luck</t>
        </is>
      </c>
      <c r="C5" s="5" t="n">
        <v>30</v>
      </c>
      <c r="D5" s="5" t="n">
        <v>300</v>
      </c>
      <c r="E5" s="5" t="inlineStr">
        <is>
          <t>Rare pool</t>
        </is>
      </c>
      <c r="F5" s="5" t="n">
        <v>4</v>
      </c>
    </row>
    <row r="6">
      <c r="A6" s="6" t="inlineStr">
        <is>
          <t>Rescue</t>
        </is>
      </c>
      <c r="B6" s="6" t="inlineStr">
        <is>
          <t>Speed</t>
        </is>
      </c>
      <c r="C6" s="6" t="n">
        <v>12</v>
      </c>
      <c r="D6" s="6" t="n">
        <v>350</v>
      </c>
      <c r="E6" s="6" t="inlineStr">
        <is>
          <t>Chronicle/social</t>
        </is>
      </c>
      <c r="F6" s="6" t="n">
        <v>4</v>
      </c>
    </row>
    <row r="7">
      <c r="A7" s="5" t="inlineStr">
        <is>
          <t>Endurance</t>
        </is>
      </c>
      <c r="B7" s="5" t="inlineStr">
        <is>
          <t>Stamina + team</t>
        </is>
      </c>
      <c r="C7" s="5" t="n">
        <v>45</v>
      </c>
      <c r="D7" s="5" t="n">
        <v>400</v>
      </c>
      <c r="E7" s="5" t="inlineStr">
        <is>
          <t>Worker EXP</t>
        </is>
      </c>
      <c r="F7" s="5" t="n">
        <v>6</v>
      </c>
    </row>
    <row r="8">
      <c r="A8" s="6" t="inlineStr">
        <is>
          <t>Deep Expedition</t>
        </is>
      </c>
      <c r="B8" s="6" t="inlineStr">
        <is>
          <t>Balanced</t>
        </is>
      </c>
      <c r="C8" s="6" t="n">
        <v>60</v>
      </c>
      <c r="D8" s="6" t="n">
        <v>600</v>
      </c>
      <c r="E8" s="6" t="inlineStr">
        <is>
          <t>Capstone/mastery</t>
        </is>
      </c>
      <c r="F8" s="6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4" customWidth="1" min="3" max="3"/>
    <col width="17" customWidth="1" min="4" max="4"/>
  </cols>
  <sheetData>
    <row r="1">
      <c r="A1" s="3" t="inlineStr">
        <is>
          <t>Post-100 roll shares</t>
        </is>
      </c>
    </row>
    <row r="2">
      <c r="A2" s="4" t="inlineStr">
        <is>
          <t>Level range</t>
        </is>
      </c>
      <c r="B2" s="4" t="inlineStr">
        <is>
          <t>Vanilla share</t>
        </is>
      </c>
      <c r="C2" s="4" t="inlineStr">
        <is>
          <t>MMORPG share</t>
        </is>
      </c>
      <c r="D2" s="4" t="inlineStr">
        <is>
          <t>Material tier</t>
        </is>
      </c>
    </row>
    <row r="3">
      <c r="A3" s="5" t="inlineStr">
        <is>
          <t>101–110</t>
        </is>
      </c>
      <c r="B3" s="9" t="n">
        <v>0.9</v>
      </c>
      <c r="C3" s="9" t="n">
        <v>0.1</v>
      </c>
      <c r="D3" s="5" t="inlineStr">
        <is>
          <t>Frontier I</t>
        </is>
      </c>
    </row>
    <row r="4">
      <c r="A4" s="6" t="inlineStr">
        <is>
          <t>111–125</t>
        </is>
      </c>
      <c r="B4" s="10" t="n">
        <v>0.8</v>
      </c>
      <c r="C4" s="10" t="n">
        <v>0.2</v>
      </c>
      <c r="D4" s="6" t="inlineStr">
        <is>
          <t>Frontier I</t>
        </is>
      </c>
    </row>
    <row r="5">
      <c r="A5" s="5" t="inlineStr">
        <is>
          <t>126–150</t>
        </is>
      </c>
      <c r="B5" s="9" t="n">
        <v>0.7</v>
      </c>
      <c r="C5" s="9" t="n">
        <v>0.3</v>
      </c>
      <c r="D5" s="5" t="inlineStr">
        <is>
          <t>Frontier I–II</t>
        </is>
      </c>
    </row>
    <row r="6">
      <c r="A6" s="6" t="inlineStr">
        <is>
          <t>151–175</t>
        </is>
      </c>
      <c r="B6" s="10" t="n">
        <v>0.6</v>
      </c>
      <c r="C6" s="10" t="n">
        <v>0.4</v>
      </c>
      <c r="D6" s="6" t="inlineStr">
        <is>
          <t>Frontier II</t>
        </is>
      </c>
    </row>
    <row r="7">
      <c r="A7" s="5" t="inlineStr">
        <is>
          <t>176–200</t>
        </is>
      </c>
      <c r="B7" s="9" t="n">
        <v>0.5</v>
      </c>
      <c r="C7" s="9" t="n">
        <v>0.5</v>
      </c>
      <c r="D7" s="5" t="inlineStr">
        <is>
          <t>Frontier II–III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30" customWidth="1" min="4" max="4"/>
  </cols>
  <sheetData>
    <row r="1">
      <c r="A1" s="3" t="inlineStr">
        <is>
          <t>Month-one Achievement budget</t>
        </is>
      </c>
    </row>
    <row r="2">
      <c r="A2" s="4" t="inlineStr">
        <is>
          <t>Reward</t>
        </is>
      </c>
      <c r="B2" s="4" t="inlineStr">
        <is>
          <t>Minimum</t>
        </is>
      </c>
      <c r="C2" s="4" t="inlineStr">
        <is>
          <t>Maximum</t>
        </is>
      </c>
      <c r="D2" s="4" t="inlineStr">
        <is>
          <t>Rule</t>
        </is>
      </c>
    </row>
    <row r="3">
      <c r="A3" s="5" t="inlineStr">
        <is>
          <t>Exploration EXP</t>
        </is>
      </c>
      <c r="B3" s="5" t="n">
        <v>1500</v>
      </c>
      <c r="C3" s="5" t="n">
        <v>2000</v>
      </c>
      <c r="D3" s="5" t="inlineStr">
        <is>
          <t>Journey only, non-repeatable</t>
        </is>
      </c>
    </row>
    <row r="4">
      <c r="A4" s="6" t="inlineStr">
        <is>
          <t>Coins</t>
        </is>
      </c>
      <c r="B4" s="6" t="n">
        <v>8000</v>
      </c>
      <c r="C4" s="6" t="n">
        <v>10000</v>
      </c>
      <c r="D4" s="6" t="inlineStr">
        <is>
          <t>Journey and Mastery</t>
        </is>
      </c>
    </row>
    <row r="5">
      <c r="A5" s="5" t="inlineStr">
        <is>
          <t>Chronicle Points</t>
        </is>
      </c>
      <c r="B5" s="5" t="n">
        <v>40</v>
      </c>
      <c r="C5" s="5" t="n">
        <v>60</v>
      </c>
      <c r="D5" s="5" t="inlineStr">
        <is>
          <t>Permanent account score</t>
        </is>
      </c>
    </row>
    <row r="6">
      <c r="A6" s="6" t="inlineStr">
        <is>
          <t>Cosmetics</t>
        </is>
      </c>
      <c r="B6" s="6" t="n">
        <v>6</v>
      </c>
      <c r="C6" s="6" t="n">
        <v>10</v>
      </c>
      <c r="D6" s="6" t="inlineStr">
        <is>
          <t>Titles, façades, frames</t>
        </is>
      </c>
    </row>
    <row r="7">
      <c r="A7" s="5" t="inlineStr">
        <is>
          <t>Functional presets</t>
        </is>
      </c>
      <c r="B7" s="5" t="n">
        <v>1</v>
      </c>
      <c r="C7" s="5" t="n">
        <v>2</v>
      </c>
      <c r="D7" s="5" t="inlineStr">
        <is>
          <t>Organization convenience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2" customWidth="1" min="3" max="3"/>
    <col width="21" customWidth="1" min="4" max="4"/>
    <col width="41" customWidth="1" min="5" max="5"/>
  </cols>
  <sheetData>
    <row r="1">
      <c r="A1" s="3" t="inlineStr">
        <is>
          <t>Node-specific perk milestones</t>
        </is>
      </c>
    </row>
    <row r="2">
      <c r="A2" s="4" t="inlineStr">
        <is>
          <t>Node</t>
        </is>
      </c>
      <c r="B2" s="4" t="inlineStr">
        <is>
          <t>Unlock level</t>
        </is>
      </c>
      <c r="C2" s="4" t="inlineStr">
        <is>
          <t>Tier</t>
        </is>
      </c>
      <c r="D2" s="4" t="inlineStr">
        <is>
          <t>Perk</t>
        </is>
      </c>
      <c r="E2" s="4" t="inlineStr">
        <is>
          <t>Primary function</t>
        </is>
      </c>
    </row>
    <row r="3">
      <c r="A3" s="5" t="inlineStr">
        <is>
          <t>Mining</t>
        </is>
      </c>
      <c r="B3" s="5" t="n">
        <v>15</v>
      </c>
      <c r="C3" s="5" t="inlineStr">
        <is>
          <t>Foundation</t>
        </is>
      </c>
      <c r="D3" s="5" t="inlineStr">
        <is>
          <t>Stone Mason</t>
        </is>
      </c>
      <c r="E3" s="5" t="inlineStr">
        <is>
          <t>Common-block preference/project routing</t>
        </is>
      </c>
    </row>
    <row r="4">
      <c r="A4" s="6" t="inlineStr">
        <is>
          <t>Mining</t>
        </is>
      </c>
      <c r="B4" s="6" t="n">
        <v>15</v>
      </c>
      <c r="C4" s="6" t="inlineStr">
        <is>
          <t>Foundation</t>
        </is>
      </c>
      <c r="D4" s="6" t="inlineStr">
        <is>
          <t>Ore Sense</t>
        </is>
      </c>
      <c r="E4" s="6" t="inlineStr">
        <is>
          <t>30-roll basic-ore pity</t>
        </is>
      </c>
    </row>
    <row r="5">
      <c r="A5" s="5" t="inlineStr">
        <is>
          <t>Mining</t>
        </is>
      </c>
      <c r="B5" s="5" t="n">
        <v>15</v>
      </c>
      <c r="C5" s="5" t="inlineStr">
        <is>
          <t>Foundation</t>
        </is>
      </c>
      <c r="D5" s="5" t="inlineStr">
        <is>
          <t>Reinforced Shaft</t>
        </is>
      </c>
      <c r="E5" s="5" t="inlineStr">
        <is>
          <t>Buffer/full-research</t>
        </is>
      </c>
    </row>
    <row r="6">
      <c r="A6" s="6" t="inlineStr">
        <is>
          <t>Mining</t>
        </is>
      </c>
      <c r="B6" s="6" t="n">
        <v>35</v>
      </c>
      <c r="C6" s="6" t="inlineStr">
        <is>
          <t>Operations</t>
        </is>
      </c>
      <c r="D6" s="6" t="inlineStr">
        <is>
          <t>Seismic Map</t>
        </is>
      </c>
      <c r="E6" s="6" t="inlineStr">
        <is>
          <t>Daily event choice</t>
        </is>
      </c>
    </row>
    <row r="7">
      <c r="A7" s="5" t="inlineStr">
        <is>
          <t>Mining</t>
        </is>
      </c>
      <c r="B7" s="5" t="n">
        <v>35</v>
      </c>
      <c r="C7" s="5" t="inlineStr">
        <is>
          <t>Operations</t>
        </is>
      </c>
      <c r="D7" s="5" t="inlineStr">
        <is>
          <t>Rich Vein</t>
        </is>
      </c>
      <c r="E7" s="5" t="inlineStr">
        <is>
          <t>Prepared quantity</t>
        </is>
      </c>
    </row>
    <row r="8">
      <c r="A8" s="6" t="inlineStr">
        <is>
          <t>Mining</t>
        </is>
      </c>
      <c r="B8" s="6" t="n">
        <v>35</v>
      </c>
      <c r="C8" s="6" t="inlineStr">
        <is>
          <t>Operations</t>
        </is>
      </c>
      <c r="D8" s="6" t="inlineStr">
        <is>
          <t>Crystal Echo</t>
        </is>
      </c>
      <c r="E8" s="6" t="inlineStr">
        <is>
          <t>Capped-roll fallback</t>
        </is>
      </c>
    </row>
    <row r="9">
      <c r="A9" s="5" t="inlineStr">
        <is>
          <t>Mining</t>
        </is>
      </c>
      <c r="B9" s="5" t="n">
        <v>60</v>
      </c>
      <c r="C9" s="5" t="inlineStr">
        <is>
          <t>Direction</t>
        </is>
      </c>
      <c r="D9" s="5" t="inlineStr">
        <is>
          <t>Metal Stratum</t>
        </is>
      </c>
      <c r="E9" s="5" t="inlineStr">
        <is>
          <t>Metal preference</t>
        </is>
      </c>
    </row>
    <row r="10">
      <c r="A10" s="6" t="inlineStr">
        <is>
          <t>Mining</t>
        </is>
      </c>
      <c r="B10" s="6" t="n">
        <v>60</v>
      </c>
      <c r="C10" s="6" t="inlineStr">
        <is>
          <t>Direction</t>
        </is>
      </c>
      <c r="D10" s="6" t="inlineStr">
        <is>
          <t>Redstone Stratum</t>
        </is>
      </c>
      <c r="E10" s="6" t="inlineStr">
        <is>
          <t>Technical-resource preference</t>
        </is>
      </c>
    </row>
    <row r="11">
      <c r="A11" s="5" t="inlineStr">
        <is>
          <t>Mining</t>
        </is>
      </c>
      <c r="B11" s="5" t="n">
        <v>60</v>
      </c>
      <c r="C11" s="5" t="inlineStr">
        <is>
          <t>Direction</t>
        </is>
      </c>
      <c r="D11" s="5" t="inlineStr">
        <is>
          <t>Gem Stratum</t>
        </is>
      </c>
      <c r="E11" s="5" t="inlineStr">
        <is>
          <t>Gem/event preference</t>
        </is>
      </c>
    </row>
    <row r="12">
      <c r="A12" s="6" t="inlineStr">
        <is>
          <t>Mining</t>
        </is>
      </c>
      <c r="B12" s="6" t="n">
        <v>85</v>
      </c>
      <c r="C12" s="6" t="inlineStr">
        <is>
          <t>Legacy</t>
        </is>
      </c>
      <c r="D12" s="6" t="inlineStr">
        <is>
          <t>Deep Core</t>
        </is>
      </c>
      <c r="E12" s="6" t="inlineStr">
        <is>
          <t>Advanced-roll meter</t>
        </is>
      </c>
    </row>
    <row r="13">
      <c r="A13" s="5" t="inlineStr">
        <is>
          <t>Mining</t>
        </is>
      </c>
      <c r="B13" s="5" t="n">
        <v>85</v>
      </c>
      <c r="C13" s="5" t="inlineStr">
        <is>
          <t>Legacy</t>
        </is>
      </c>
      <c r="D13" s="5" t="inlineStr">
        <is>
          <t>Excavation Crew</t>
        </is>
      </c>
      <c r="E13" s="5" t="inlineStr">
        <is>
          <t>Reduced event opportunity cost</t>
        </is>
      </c>
    </row>
    <row r="14">
      <c r="A14" s="6" t="inlineStr">
        <is>
          <t>Mining</t>
        </is>
      </c>
      <c r="B14" s="6" t="n">
        <v>85</v>
      </c>
      <c r="C14" s="6" t="inlineStr">
        <is>
          <t>Legacy</t>
        </is>
      </c>
      <c r="D14" s="6" t="inlineStr">
        <is>
          <t>Geological Archive</t>
        </is>
      </c>
      <c r="E14" s="6" t="inlineStr">
        <is>
          <t>Journal research</t>
        </is>
      </c>
    </row>
    <row r="15">
      <c r="A15" s="5" t="inlineStr">
        <is>
          <t>Farming</t>
        </is>
      </c>
      <c r="B15" s="5" t="n">
        <v>15</v>
      </c>
      <c r="C15" s="5" t="inlineStr">
        <is>
          <t>Foundation</t>
        </is>
      </c>
      <c r="D15" s="5" t="inlineStr">
        <is>
          <t>Crop Rotation</t>
        </is>
      </c>
      <c r="E15" s="5" t="inlineStr">
        <is>
          <t>Variety research</t>
        </is>
      </c>
    </row>
    <row r="16">
      <c r="A16" s="6" t="inlineStr">
        <is>
          <t>Farming</t>
        </is>
      </c>
      <c r="B16" s="6" t="n">
        <v>15</v>
      </c>
      <c r="C16" s="6" t="inlineStr">
        <is>
          <t>Foundation</t>
        </is>
      </c>
      <c r="D16" s="6" t="inlineStr">
        <is>
          <t>Seed Keeper</t>
        </is>
      </c>
      <c r="E16" s="6" t="inlineStr">
        <is>
          <t>Common-crop bonus</t>
        </is>
      </c>
    </row>
    <row r="17">
      <c r="A17" s="5" t="inlineStr">
        <is>
          <t>Farming</t>
        </is>
      </c>
      <c r="B17" s="5" t="n">
        <v>15</v>
      </c>
      <c r="C17" s="5" t="inlineStr">
        <is>
          <t>Foundation</t>
        </is>
      </c>
      <c r="D17" s="5" t="inlineStr">
        <is>
          <t>Irrigation Channels</t>
        </is>
      </c>
      <c r="E17" s="5" t="inlineStr">
        <is>
          <t>Buffer/daily collection</t>
        </is>
      </c>
    </row>
    <row r="18">
      <c r="A18" s="6" t="inlineStr">
        <is>
          <t>Farming</t>
        </is>
      </c>
      <c r="B18" s="6" t="n">
        <v>35</v>
      </c>
      <c r="C18" s="6" t="inlineStr">
        <is>
          <t>Operations</t>
        </is>
      </c>
      <c r="D18" s="6" t="inlineStr">
        <is>
          <t>Greenhouse</t>
        </is>
      </c>
      <c r="E18" s="6" t="inlineStr">
        <is>
          <t>Early full-buffer research</t>
        </is>
      </c>
    </row>
    <row r="19">
      <c r="A19" s="5" t="inlineStr">
        <is>
          <t>Farming</t>
        </is>
      </c>
      <c r="B19" s="5" t="n">
        <v>35</v>
      </c>
      <c r="C19" s="5" t="inlineStr">
        <is>
          <t>Operations</t>
        </is>
      </c>
      <c r="D19" s="5" t="inlineStr">
        <is>
          <t>Market Garden</t>
        </is>
      </c>
      <c r="E19" s="5" t="inlineStr">
        <is>
          <t>Commission efficiency</t>
        </is>
      </c>
    </row>
    <row r="20">
      <c r="A20" s="6" t="inlineStr">
        <is>
          <t>Farming</t>
        </is>
      </c>
      <c r="B20" s="6" t="n">
        <v>35</v>
      </c>
      <c r="C20" s="6" t="inlineStr">
        <is>
          <t>Operations</t>
        </is>
      </c>
      <c r="D20" s="6" t="inlineStr">
        <is>
          <t>Pollinator Route</t>
        </is>
      </c>
      <c r="E20" s="6" t="inlineStr">
        <is>
          <t>Prepared advanced roll</t>
        </is>
      </c>
    </row>
    <row r="21">
      <c r="A21" s="5" t="inlineStr">
        <is>
          <t>Farming</t>
        </is>
      </c>
      <c r="B21" s="5" t="n">
        <v>60</v>
      </c>
      <c r="C21" s="5" t="inlineStr">
        <is>
          <t>Direction</t>
        </is>
      </c>
      <c r="D21" s="5" t="inlineStr">
        <is>
          <t>Staple Harvest</t>
        </is>
      </c>
      <c r="E21" s="5" t="inlineStr">
        <is>
          <t>Staple preference</t>
        </is>
      </c>
    </row>
    <row r="22">
      <c r="A22" s="6" t="inlineStr">
        <is>
          <t>Farming</t>
        </is>
      </c>
      <c r="B22" s="6" t="n">
        <v>60</v>
      </c>
      <c r="C22" s="6" t="inlineStr">
        <is>
          <t>Direction</t>
        </is>
      </c>
      <c r="D22" s="6" t="inlineStr">
        <is>
          <t>Exotic Garden</t>
        </is>
      </c>
      <c r="E22" s="6" t="inlineStr">
        <is>
          <t>Exotic preference</t>
        </is>
      </c>
    </row>
    <row r="23">
      <c r="A23" s="5" t="inlineStr">
        <is>
          <t>Farming</t>
        </is>
      </c>
      <c r="B23" s="5" t="n">
        <v>60</v>
      </c>
      <c r="C23" s="5" t="inlineStr">
        <is>
          <t>Direction</t>
        </is>
      </c>
      <c r="D23" s="5" t="inlineStr">
        <is>
          <t>Alchemist's Plot</t>
        </is>
      </c>
      <c r="E23" s="5" t="inlineStr">
        <is>
          <t>Potion-resource preference</t>
        </is>
      </c>
    </row>
    <row r="24">
      <c r="A24" s="6" t="inlineStr">
        <is>
          <t>Farming</t>
        </is>
      </c>
      <c r="B24" s="6" t="n">
        <v>85</v>
      </c>
      <c r="C24" s="6" t="inlineStr">
        <is>
          <t>Legacy</t>
        </is>
      </c>
      <c r="D24" s="6" t="inlineStr">
        <is>
          <t>Perennial Field</t>
        </is>
      </c>
      <c r="E24" s="6" t="inlineStr">
        <is>
          <t>Daily regrowth</t>
        </is>
      </c>
    </row>
    <row r="25">
      <c r="A25" s="5" t="inlineStr">
        <is>
          <t>Farming</t>
        </is>
      </c>
      <c r="B25" s="5" t="n">
        <v>85</v>
      </c>
      <c r="C25" s="5" t="inlineStr">
        <is>
          <t>Legacy</t>
        </is>
      </c>
      <c r="D25" s="5" t="inlineStr">
        <is>
          <t>Harvest Festival</t>
        </is>
      </c>
      <c r="E25" s="5" t="inlineStr">
        <is>
          <t>Weekly collection event</t>
        </is>
      </c>
    </row>
    <row r="26">
      <c r="A26" s="6" t="inlineStr">
        <is>
          <t>Farming</t>
        </is>
      </c>
      <c r="B26" s="6" t="n">
        <v>85</v>
      </c>
      <c r="C26" s="6" t="inlineStr">
        <is>
          <t>Legacy</t>
        </is>
      </c>
      <c r="D26" s="6" t="inlineStr">
        <is>
          <t>Living Soil</t>
        </is>
      </c>
      <c r="E26" s="6" t="inlineStr">
        <is>
          <t>Rested research</t>
        </is>
      </c>
    </row>
    <row r="27">
      <c r="A27" s="5" t="inlineStr">
        <is>
          <t>Woodcutting</t>
        </is>
      </c>
      <c r="B27" s="5" t="n">
        <v>15</v>
      </c>
      <c r="C27" s="5" t="inlineStr">
        <is>
          <t>Foundation</t>
        </is>
      </c>
      <c r="D27" s="5" t="inlineStr">
        <is>
          <t>Sustainable Grove</t>
        </is>
      </c>
      <c r="E27" s="5" t="inlineStr">
        <is>
          <t>Species cycle</t>
        </is>
      </c>
    </row>
    <row r="28">
      <c r="A28" s="6" t="inlineStr">
        <is>
          <t>Woodcutting</t>
        </is>
      </c>
      <c r="B28" s="6" t="n">
        <v>15</v>
      </c>
      <c r="C28" s="6" t="inlineStr">
        <is>
          <t>Foundation</t>
        </is>
      </c>
      <c r="D28" s="6" t="inlineStr">
        <is>
          <t>Lumber Stacks</t>
        </is>
      </c>
      <c r="E28" s="6" t="inlineStr">
        <is>
          <t>Log buffer</t>
        </is>
      </c>
    </row>
    <row r="29">
      <c r="A29" s="5" t="inlineStr">
        <is>
          <t>Woodcutting</t>
        </is>
      </c>
      <c r="B29" s="5" t="n">
        <v>15</v>
      </c>
      <c r="C29" s="5" t="inlineStr">
        <is>
          <t>Foundation</t>
        </is>
      </c>
      <c r="D29" s="5" t="inlineStr">
        <is>
          <t>Sapling Keeper</t>
        </is>
      </c>
      <c r="E29" s="5" t="inlineStr">
        <is>
          <t>Bound cosmetic tokens</t>
        </is>
      </c>
    </row>
    <row r="30">
      <c r="A30" s="6" t="inlineStr">
        <is>
          <t>Woodcutting</t>
        </is>
      </c>
      <c r="B30" s="6" t="n">
        <v>35</v>
      </c>
      <c r="C30" s="6" t="inlineStr">
        <is>
          <t>Operations</t>
        </is>
      </c>
      <c r="D30" s="6" t="inlineStr">
        <is>
          <t>Trailblazer</t>
        </is>
      </c>
      <c r="E30" s="6" t="inlineStr">
        <is>
          <t>Event speed</t>
        </is>
      </c>
    </row>
    <row r="31">
      <c r="A31" s="5" t="inlineStr">
        <is>
          <t>Woodcutting</t>
        </is>
      </c>
      <c r="B31" s="5" t="n">
        <v>35</v>
      </c>
      <c r="C31" s="5" t="inlineStr">
        <is>
          <t>Operations</t>
        </is>
      </c>
      <c r="D31" s="5" t="inlineStr">
        <is>
          <t>Carpenter's Measure</t>
        </is>
      </c>
      <c r="E31" s="5" t="inlineStr">
        <is>
          <t>Project efficiency</t>
        </is>
      </c>
    </row>
    <row r="32">
      <c r="A32" s="6" t="inlineStr">
        <is>
          <t>Woodcutting</t>
        </is>
      </c>
      <c r="B32" s="6" t="n">
        <v>35</v>
      </c>
      <c r="C32" s="6" t="inlineStr">
        <is>
          <t>Operations</t>
        </is>
      </c>
      <c r="D32" s="6" t="inlineStr">
        <is>
          <t>Forest Memory</t>
        </is>
      </c>
      <c r="E32" s="6" t="inlineStr">
        <is>
          <t>Journal Node EXP</t>
        </is>
      </c>
    </row>
    <row r="33">
      <c r="A33" s="5" t="inlineStr">
        <is>
          <t>Woodcutting</t>
        </is>
      </c>
      <c r="B33" s="5" t="n">
        <v>60</v>
      </c>
      <c r="C33" s="5" t="inlineStr">
        <is>
          <t>Direction</t>
        </is>
      </c>
      <c r="D33" s="5" t="inlineStr">
        <is>
          <t>Temperate Grove</t>
        </is>
      </c>
      <c r="E33" s="5" t="inlineStr">
        <is>
          <t>Temperate preference</t>
        </is>
      </c>
    </row>
    <row r="34">
      <c r="A34" s="6" t="inlineStr">
        <is>
          <t>Woodcutting</t>
        </is>
      </c>
      <c r="B34" s="6" t="n">
        <v>60</v>
      </c>
      <c r="C34" s="6" t="inlineStr">
        <is>
          <t>Direction</t>
        </is>
      </c>
      <c r="D34" s="6" t="inlineStr">
        <is>
          <t>Wild Grove</t>
        </is>
      </c>
      <c r="E34" s="6" t="inlineStr">
        <is>
          <t>Wild-biome preference</t>
        </is>
      </c>
    </row>
    <row r="35">
      <c r="A35" s="5" t="inlineStr">
        <is>
          <t>Woodcutting</t>
        </is>
      </c>
      <c r="B35" s="5" t="n">
        <v>60</v>
      </c>
      <c r="C35" s="5" t="inlineStr">
        <is>
          <t>Direction</t>
        </is>
      </c>
      <c r="D35" s="5" t="inlineStr">
        <is>
          <t>Otherworld Grove</t>
        </is>
      </c>
      <c r="E35" s="5" t="inlineStr">
        <is>
          <t>Nether-wood preference</t>
        </is>
      </c>
    </row>
    <row r="36">
      <c r="A36" s="6" t="inlineStr">
        <is>
          <t>Woodcutting</t>
        </is>
      </c>
      <c r="B36" s="6" t="n">
        <v>85</v>
      </c>
      <c r="C36" s="6" t="inlineStr">
        <is>
          <t>Legacy</t>
        </is>
      </c>
      <c r="D36" s="6" t="inlineStr">
        <is>
          <t>Elder Grove</t>
        </is>
      </c>
      <c r="E36" s="6" t="inlineStr">
        <is>
          <t>Daily route choice</t>
        </is>
      </c>
    </row>
    <row r="37">
      <c r="A37" s="5" t="inlineStr">
        <is>
          <t>Woodcutting</t>
        </is>
      </c>
      <c r="B37" s="5" t="n">
        <v>85</v>
      </c>
      <c r="C37" s="5" t="inlineStr">
        <is>
          <t>Legacy</t>
        </is>
      </c>
      <c r="D37" s="5" t="inlineStr">
        <is>
          <t>Master Carpenter</t>
        </is>
      </c>
      <c r="E37" s="5" t="inlineStr">
        <is>
          <t>Construction bundles</t>
        </is>
      </c>
    </row>
    <row r="38">
      <c r="A38" s="6" t="inlineStr">
        <is>
          <t>Woodcutting</t>
        </is>
      </c>
      <c r="B38" s="6" t="n">
        <v>85</v>
      </c>
      <c r="C38" s="6" t="inlineStr">
        <is>
          <t>Legacy</t>
        </is>
      </c>
      <c r="D38" s="6" t="inlineStr">
        <is>
          <t>Heartwood</t>
        </is>
      </c>
      <c r="E38" s="6" t="inlineStr">
        <is>
          <t>Advanced-roll pity</t>
        </is>
      </c>
    </row>
    <row r="39">
      <c r="A39" s="5" t="inlineStr">
        <is>
          <t>Livestock</t>
        </is>
      </c>
      <c r="B39" s="5" t="n">
        <v>15</v>
      </c>
      <c r="C39" s="5" t="inlineStr">
        <is>
          <t>Foundation</t>
        </is>
      </c>
      <c r="D39" s="5" t="inlineStr">
        <is>
          <t>Balanced Herd</t>
        </is>
      </c>
      <c r="E39" s="5" t="inlineStr">
        <is>
          <t>Diversity Node EXP</t>
        </is>
      </c>
    </row>
    <row r="40">
      <c r="A40" s="6" t="inlineStr">
        <is>
          <t>Livestock</t>
        </is>
      </c>
      <c r="B40" s="6" t="n">
        <v>15</v>
      </c>
      <c r="C40" s="6" t="inlineStr">
        <is>
          <t>Foundation</t>
        </is>
      </c>
      <c r="D40" s="6" t="inlineStr">
        <is>
          <t>Feed Reserve</t>
        </is>
      </c>
      <c r="E40" s="6" t="inlineStr">
        <is>
          <t>Buffer/preparation</t>
        </is>
      </c>
    </row>
    <row r="41">
      <c r="A41" s="5" t="inlineStr">
        <is>
          <t>Livestock</t>
        </is>
      </c>
      <c r="B41" s="5" t="n">
        <v>15</v>
      </c>
      <c r="C41" s="5" t="inlineStr">
        <is>
          <t>Foundation</t>
        </is>
      </c>
      <c r="D41" s="5" t="inlineStr">
        <is>
          <t>Ranch Hand</t>
        </is>
      </c>
      <c r="E41" s="5" t="inlineStr">
        <is>
          <t>Worker EXP</t>
        </is>
      </c>
    </row>
    <row r="42">
      <c r="A42" s="6" t="inlineStr">
        <is>
          <t>Livestock</t>
        </is>
      </c>
      <c r="B42" s="6" t="n">
        <v>35</v>
      </c>
      <c r="C42" s="6" t="inlineStr">
        <is>
          <t>Operations</t>
        </is>
      </c>
      <c r="D42" s="6" t="inlineStr">
        <is>
          <t>Breeding Records</t>
        </is>
      </c>
      <c r="E42" s="6" t="inlineStr">
        <is>
          <t>Daily targeting</t>
        </is>
      </c>
    </row>
    <row r="43">
      <c r="A43" s="5" t="inlineStr">
        <is>
          <t>Livestock</t>
        </is>
      </c>
      <c r="B43" s="5" t="n">
        <v>35</v>
      </c>
      <c r="C43" s="5" t="inlineStr">
        <is>
          <t>Operations</t>
        </is>
      </c>
      <c r="D43" s="5" t="inlineStr">
        <is>
          <t>Fishery Route</t>
        </is>
      </c>
      <c r="E43" s="5" t="inlineStr">
        <is>
          <t>Aquatic events</t>
        </is>
      </c>
    </row>
    <row r="44">
      <c r="A44" s="6" t="inlineStr">
        <is>
          <t>Livestock</t>
        </is>
      </c>
      <c r="B44" s="6" t="n">
        <v>35</v>
      </c>
      <c r="C44" s="6" t="inlineStr">
        <is>
          <t>Operations</t>
        </is>
      </c>
      <c r="D44" s="6" t="inlineStr">
        <is>
          <t>Shepherd's Call</t>
        </is>
      </c>
      <c r="E44" s="6" t="inlineStr">
        <is>
          <t>Role synergy</t>
        </is>
      </c>
    </row>
    <row r="45">
      <c r="A45" s="5" t="inlineStr">
        <is>
          <t>Livestock</t>
        </is>
      </c>
      <c r="B45" s="5" t="n">
        <v>60</v>
      </c>
      <c r="C45" s="5" t="inlineStr">
        <is>
          <t>Direction</t>
        </is>
      </c>
      <c r="D45" s="5" t="inlineStr">
        <is>
          <t>Ranch Table</t>
        </is>
      </c>
      <c r="E45" s="5" t="inlineStr">
        <is>
          <t>Food preference</t>
        </is>
      </c>
    </row>
    <row r="46">
      <c r="A46" s="6" t="inlineStr">
        <is>
          <t>Livestock</t>
        </is>
      </c>
      <c r="B46" s="6" t="n">
        <v>60</v>
      </c>
      <c r="C46" s="6" t="inlineStr">
        <is>
          <t>Direction</t>
        </is>
      </c>
      <c r="D46" s="6" t="inlineStr">
        <is>
          <t>Weaver's Pasture</t>
        </is>
      </c>
      <c r="E46" s="6" t="inlineStr">
        <is>
          <t>Textile preference</t>
        </is>
      </c>
    </row>
    <row r="47">
      <c r="A47" s="5" t="inlineStr">
        <is>
          <t>Livestock</t>
        </is>
      </c>
      <c r="B47" s="5" t="n">
        <v>60</v>
      </c>
      <c r="C47" s="5" t="inlineStr">
        <is>
          <t>Direction</t>
        </is>
      </c>
      <c r="D47" s="5" t="inlineStr">
        <is>
          <t>River Keeper</t>
        </is>
      </c>
      <c r="E47" s="5" t="inlineStr">
        <is>
          <t>Aquatic preference</t>
        </is>
      </c>
    </row>
    <row r="48">
      <c r="A48" s="6" t="inlineStr">
        <is>
          <t>Livestock</t>
        </is>
      </c>
      <c r="B48" s="6" t="n">
        <v>85</v>
      </c>
      <c r="C48" s="6" t="inlineStr">
        <is>
          <t>Legacy</t>
        </is>
      </c>
      <c r="D48" s="6" t="inlineStr">
        <is>
          <t>Legendary Herd</t>
        </is>
      </c>
      <c r="E48" s="6" t="inlineStr">
        <is>
          <t>Weekly journal event</t>
        </is>
      </c>
    </row>
    <row r="49">
      <c r="A49" s="5" t="inlineStr">
        <is>
          <t>Livestock</t>
        </is>
      </c>
      <c r="B49" s="5" t="n">
        <v>85</v>
      </c>
      <c r="C49" s="5" t="inlineStr">
        <is>
          <t>Legacy</t>
        </is>
      </c>
      <c r="D49" s="5" t="inlineStr">
        <is>
          <t>Sanctuary</t>
        </is>
      </c>
      <c r="E49" s="5" t="inlineStr">
        <is>
          <t>Remaining-crew power</t>
        </is>
      </c>
    </row>
    <row r="50">
      <c r="A50" s="6" t="inlineStr">
        <is>
          <t>Livestock</t>
        </is>
      </c>
      <c r="B50" s="6" t="n">
        <v>85</v>
      </c>
      <c r="C50" s="6" t="inlineStr">
        <is>
          <t>Legacy</t>
        </is>
      </c>
      <c r="D50" s="6" t="inlineStr">
        <is>
          <t>Ranch Legacy</t>
        </is>
      </c>
      <c r="E50" s="6" t="inlineStr">
        <is>
          <t>Node-bound veteran</t>
        </is>
      </c>
    </row>
    <row r="51">
      <c r="A51" s="5" t="inlineStr">
        <is>
          <t>Hunter</t>
        </is>
      </c>
      <c r="B51" s="5" t="n">
        <v>15</v>
      </c>
      <c r="C51" s="5" t="inlineStr">
        <is>
          <t>Foundation</t>
        </is>
      </c>
      <c r="D51" s="5" t="inlineStr">
        <is>
          <t>Bounty Board</t>
        </is>
      </c>
      <c r="E51" s="5" t="inlineStr">
        <is>
          <t>Daily target family</t>
        </is>
      </c>
    </row>
    <row r="52">
      <c r="A52" s="6" t="inlineStr">
        <is>
          <t>Hunter</t>
        </is>
      </c>
      <c r="B52" s="6" t="n">
        <v>15</v>
      </c>
      <c r="C52" s="6" t="inlineStr">
        <is>
          <t>Foundation</t>
        </is>
      </c>
      <c r="D52" s="6" t="inlineStr">
        <is>
          <t>Scavenger</t>
        </is>
      </c>
      <c r="E52" s="6" t="inlineStr">
        <is>
          <t>Extra uncapped roll</t>
        </is>
      </c>
    </row>
    <row r="53">
      <c r="A53" s="5" t="inlineStr">
        <is>
          <t>Hunter</t>
        </is>
      </c>
      <c r="B53" s="5" t="n">
        <v>15</v>
      </c>
      <c r="C53" s="5" t="inlineStr">
        <is>
          <t>Foundation</t>
        </is>
      </c>
      <c r="D53" s="5" t="inlineStr">
        <is>
          <t>Night Watch</t>
        </is>
      </c>
      <c r="E53" s="5" t="inlineStr">
        <is>
          <t>Online-night events</t>
        </is>
      </c>
    </row>
    <row r="54">
      <c r="A54" s="6" t="inlineStr">
        <is>
          <t>Hunter</t>
        </is>
      </c>
      <c r="B54" s="6" t="n">
        <v>35</v>
      </c>
      <c r="C54" s="6" t="inlineStr">
        <is>
          <t>Operations</t>
        </is>
      </c>
      <c r="D54" s="6" t="inlineStr">
        <is>
          <t>Trail Marks</t>
        </is>
      </c>
      <c r="E54" s="6" t="inlineStr">
        <is>
          <t>Event speed</t>
        </is>
      </c>
    </row>
    <row r="55">
      <c r="A55" s="5" t="inlineStr">
        <is>
          <t>Hunter</t>
        </is>
      </c>
      <c r="B55" s="5" t="n">
        <v>35</v>
      </c>
      <c r="C55" s="5" t="inlineStr">
        <is>
          <t>Operations</t>
        </is>
      </c>
      <c r="D55" s="5" t="inlineStr">
        <is>
          <t>Trophy Sense</t>
        </is>
      </c>
      <c r="E55" s="5" t="inlineStr">
        <is>
          <t>Event information</t>
        </is>
      </c>
    </row>
    <row r="56">
      <c r="A56" s="6" t="inlineStr">
        <is>
          <t>Hunter</t>
        </is>
      </c>
      <c r="B56" s="6" t="n">
        <v>35</v>
      </c>
      <c r="C56" s="6" t="inlineStr">
        <is>
          <t>Operations</t>
        </is>
      </c>
      <c r="D56" s="6" t="inlineStr">
        <is>
          <t>Prepared Ambush</t>
        </is>
      </c>
      <c r="E56" s="6" t="inlineStr">
        <is>
          <t>Prepared quantity</t>
        </is>
      </c>
    </row>
    <row r="57">
      <c r="A57" s="5" t="inlineStr">
        <is>
          <t>Hunter</t>
        </is>
      </c>
      <c r="B57" s="5" t="n">
        <v>60</v>
      </c>
      <c r="C57" s="5" t="inlineStr">
        <is>
          <t>Direction</t>
        </is>
      </c>
      <c r="D57" s="5" t="inlineStr">
        <is>
          <t>Grave Warden</t>
        </is>
      </c>
      <c r="E57" s="5" t="inlineStr">
        <is>
          <t>Undead preference</t>
        </is>
      </c>
    </row>
    <row r="58">
      <c r="A58" s="6" t="inlineStr">
        <is>
          <t>Hunter</t>
        </is>
      </c>
      <c r="B58" s="6" t="n">
        <v>60</v>
      </c>
      <c r="C58" s="6" t="inlineStr">
        <is>
          <t>Direction</t>
        </is>
      </c>
      <c r="D58" s="6" t="inlineStr">
        <is>
          <t>Nest Breaker</t>
        </is>
      </c>
      <c r="E58" s="6" t="inlineStr">
        <is>
          <t>Creature preference</t>
        </is>
      </c>
    </row>
    <row r="59">
      <c r="A59" s="5" t="inlineStr">
        <is>
          <t>Hunter</t>
        </is>
      </c>
      <c r="B59" s="5" t="n">
        <v>60</v>
      </c>
      <c r="C59" s="5" t="inlineStr">
        <is>
          <t>Direction</t>
        </is>
      </c>
      <c r="D59" s="5" t="inlineStr">
        <is>
          <t>Rift Stalker</t>
        </is>
      </c>
      <c r="E59" s="5" t="inlineStr">
        <is>
          <t>Dimension preference</t>
        </is>
      </c>
    </row>
    <row r="60">
      <c r="A60" s="6" t="inlineStr">
        <is>
          <t>Hunter</t>
        </is>
      </c>
      <c r="B60" s="6" t="n">
        <v>85</v>
      </c>
      <c r="C60" s="6" t="inlineStr">
        <is>
          <t>Legacy</t>
        </is>
      </c>
      <c r="D60" s="6" t="inlineStr">
        <is>
          <t>Apex Contract</t>
        </is>
      </c>
      <c r="E60" s="6" t="inlineStr">
        <is>
          <t>Weekly route choice</t>
        </is>
      </c>
    </row>
    <row r="61">
      <c r="A61" s="5" t="inlineStr">
        <is>
          <t>Hunter</t>
        </is>
      </c>
      <c r="B61" s="5" t="n">
        <v>85</v>
      </c>
      <c r="C61" s="5" t="inlineStr">
        <is>
          <t>Legacy</t>
        </is>
      </c>
      <c r="D61" s="5" t="inlineStr">
        <is>
          <t>Clean Hunt</t>
        </is>
      </c>
      <c r="E61" s="5" t="inlineStr">
        <is>
          <t>Supply bundles</t>
        </is>
      </c>
    </row>
    <row r="62">
      <c r="A62" s="6" t="inlineStr">
        <is>
          <t>Hunter</t>
        </is>
      </c>
      <c r="B62" s="6" t="n">
        <v>85</v>
      </c>
      <c r="C62" s="6" t="inlineStr">
        <is>
          <t>Legacy</t>
        </is>
      </c>
      <c r="D62" s="6" t="inlineStr">
        <is>
          <t>Dread Mark</t>
        </is>
      </c>
      <c r="E62" s="6" t="inlineStr">
        <is>
          <t>Event completion EXP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2026-07-20T06:37:27Z</dcterms:created>
  <dcterms:modified xmlns:dcterms="http://purl.org/dc/terms/" xmlns:xsi="http://www.w3.org/2001/XMLSchema-instance" xsi:type="dcterms:W3CDTF">2026-07-20T06:37:28Z</dcterms:modified>
</cp:coreProperties>
</file>